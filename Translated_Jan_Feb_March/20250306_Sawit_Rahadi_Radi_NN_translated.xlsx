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iIE/6MvIu8AYPAdwmVN5sRkTMnfUqOKcuVWbzc6YuVc="/>
    </ext>
  </extLst>
</workbook>
</file>

<file path=xl/sharedStrings.xml><?xml version="1.0" encoding="utf-8"?>
<sst xmlns="http://schemas.openxmlformats.org/spreadsheetml/2006/main" count="1750" uniqueCount="1002">
  <si>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</si>
  <si>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</si>
  <si>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</si>
  <si>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</si>
  <si>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</si>
  <si>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</si>
  <si>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</si>
  <si>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</si>
  <si>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</si>
  <si>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</si>
  <si>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</si>
  <si>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</si>
  <si>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</si>
  <si>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</si>
  <si>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</si>
  <si>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</si>
  <si>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</si>
  <si>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</si>
  <si>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</si>
  <si>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</si>
  <si>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</si>
  <si>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</si>
  <si>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</si>
  <si>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Radi</t>
  </si>
  <si>
    <t>NN</t>
  </si>
  <si>
    <t>Sawit</t>
  </si>
  <si>
    <t>R</t>
  </si>
  <si>
    <t>Sampai pohon tidur pagi Sawit di pohon Papung AR-300, cuaca sedikit gelap (mendung)</t>
  </si>
  <si>
    <t>M</t>
  </si>
  <si>
    <t>Pergerakan pertama keluar dari pohon tidur, terlihat individu berjalan secara perlahan, cuaca berawan</t>
  </si>
  <si>
    <t>atas</t>
  </si>
  <si>
    <t>Tutup kabali</t>
  </si>
  <si>
    <t>Papung</t>
  </si>
  <si>
    <t>Mangkinang blawau</t>
  </si>
  <si>
    <t>F</t>
  </si>
  <si>
    <t>Lunuk besar</t>
  </si>
  <si>
    <t>fr/M</t>
  </si>
  <si>
    <t>dg+kul</t>
  </si>
  <si>
    <t>meludah</t>
  </si>
  <si>
    <t>Lunuk besar di pohon Kayu lalas</t>
  </si>
  <si>
    <t>Karandau</t>
  </si>
  <si>
    <t>Hangkang</t>
  </si>
  <si>
    <t>Urinasi dan defekasi di pohon Meranti daun kecil</t>
  </si>
  <si>
    <t>Katiau</t>
  </si>
  <si>
    <t>Cuaca cerah berawan</t>
  </si>
  <si>
    <t>Akar tungkun</t>
  </si>
  <si>
    <t>sd+dg</t>
  </si>
  <si>
    <t>telan semua</t>
  </si>
  <si>
    <t>Sulit mengambil feeding rate individu tertutup tajuk sekitar pohon</t>
  </si>
  <si>
    <t>Akar tungkun di pohon Karandau dan terlihat 20 kali memasukan buah ke dalam mulut</t>
  </si>
  <si>
    <t>Defekasi dan urinasi di pohon Hangkang</t>
  </si>
  <si>
    <t>Kayu lalas, cuaca berawan</t>
  </si>
  <si>
    <t>Kajalaki</t>
  </si>
  <si>
    <t>Meranti daun kecil</t>
  </si>
  <si>
    <t>Nyato puntik</t>
  </si>
  <si>
    <t>Manggis hutan daun kecil (MHDK)</t>
  </si>
  <si>
    <t>Gandis</t>
  </si>
  <si>
    <t>Manggis hutan daun kecil</t>
  </si>
  <si>
    <t>fr/Mu</t>
  </si>
  <si>
    <t>Urinasi dan defekasi di pohon Manggis hutan daun kecil (MHDK)</t>
  </si>
  <si>
    <t>Mangkinang blawau, cuaca cerah berawan</t>
  </si>
  <si>
    <t>10;33</t>
  </si>
  <si>
    <t>Defekasi di pohon Karandau</t>
  </si>
  <si>
    <t>Hangkang, cuaca cerah</t>
  </si>
  <si>
    <t>Papung ,cuaca cerah berawan dan sedikit berangin</t>
  </si>
  <si>
    <t>Kamehas daun perak</t>
  </si>
  <si>
    <t>Semut</t>
  </si>
  <si>
    <t>ins</t>
  </si>
  <si>
    <t>Memakan semut di daun yang masih hidup dengan cara memetik daun terlebih dahulu di pohon Papung</t>
  </si>
  <si>
    <t>Hangkang, cuaca menjadi cerah berawan</t>
  </si>
  <si>
    <t>Meranti</t>
  </si>
  <si>
    <t>Individu masuk ke pohon Nyato puntik</t>
  </si>
  <si>
    <t>Pohon tidur sore Sawit dan Ewit di pohon Nyato puntik D - 100, cuaca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</si>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</sst>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0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1.png"/><Relationship Id="rId9" Type="http://schemas.openxmlformats.org/officeDocument/2006/relationships/image" Target="../media/image2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8.78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45722.0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0.20625</v>
      </c>
      <c r="G2" s="12">
        <v>0.23611111111111113</v>
      </c>
      <c r="H2" s="13">
        <v>1.0</v>
      </c>
      <c r="I2" s="12">
        <v>0.199305555555555</v>
      </c>
      <c r="J2" s="12" t="s">
        <v>26</v>
      </c>
      <c r="K2" s="14"/>
      <c r="L2" s="14"/>
      <c r="M2" s="14"/>
      <c r="N2" s="14"/>
      <c r="O2" s="14"/>
      <c r="P2" s="14"/>
      <c r="Q2" s="12" t="str">
        <f t="shared" ref="Q2:Q76" si="1">IF(J2="F",I2,"")</f>
        <v/>
      </c>
      <c r="R2" s="12" t="str">
        <f t="shared" ref="R2:R19" si="2">IF(J2="F",I3,"")</f>
        <v/>
      </c>
      <c r="S2" s="12"/>
      <c r="T2" s="12"/>
      <c r="U2" s="14"/>
      <c r="V2" s="14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45722.0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0.20625</v>
      </c>
      <c r="G3" s="12">
        <v>0.23611111111111113</v>
      </c>
      <c r="H3" s="13">
        <v>2.0</v>
      </c>
      <c r="I3" s="12">
        <v>0.236111111111111</v>
      </c>
      <c r="J3" s="12" t="s">
        <v>28</v>
      </c>
      <c r="K3" s="14"/>
      <c r="L3" s="14"/>
      <c r="M3" s="14"/>
      <c r="N3" s="14"/>
      <c r="O3" s="14"/>
      <c r="P3" s="14"/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29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45722.0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0.20625</v>
      </c>
      <c r="G4" s="12">
        <v>0.23611111111111113</v>
      </c>
      <c r="H4" s="13">
        <v>2.0</v>
      </c>
      <c r="I4" s="12">
        <v>0.242361111111111</v>
      </c>
      <c r="J4" s="12" t="s">
        <v>26</v>
      </c>
      <c r="K4" s="14"/>
      <c r="L4" s="14"/>
      <c r="M4" s="14"/>
      <c r="N4" s="14"/>
      <c r="O4" s="14"/>
      <c r="P4" s="14" t="s">
        <v>30</v>
      </c>
      <c r="Q4" s="12" t="str">
        <f t="shared" si="1"/>
        <v/>
      </c>
      <c r="R4" s="12" t="str">
        <f t="shared" si="2"/>
        <v/>
      </c>
      <c r="S4" s="12"/>
      <c r="T4" s="12"/>
      <c r="U4" s="14"/>
      <c r="V4" s="14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45722.0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0.20625</v>
      </c>
      <c r="G5" s="12">
        <v>0.23611111111111113</v>
      </c>
      <c r="H5" s="13">
        <v>2.0</v>
      </c>
      <c r="I5" s="12">
        <v>0.244444444444444</v>
      </c>
      <c r="J5" s="12" t="s">
        <v>28</v>
      </c>
      <c r="K5" s="14"/>
      <c r="L5" s="14"/>
      <c r="M5" s="14"/>
      <c r="N5" s="14"/>
      <c r="O5" s="14"/>
      <c r="P5" s="14"/>
      <c r="Q5" s="12" t="str">
        <f t="shared" si="1"/>
        <v/>
      </c>
      <c r="R5" s="12" t="str">
        <f t="shared" si="2"/>
        <v/>
      </c>
      <c r="S5" s="12"/>
      <c r="T5" s="12"/>
      <c r="U5" s="14"/>
      <c r="V5" s="14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45722.0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0.20625</v>
      </c>
      <c r="G6" s="12">
        <v>0.23611111111111113</v>
      </c>
      <c r="H6" s="13">
        <v>1.0</v>
      </c>
      <c r="I6" s="12">
        <v>0.246527777777777</v>
      </c>
      <c r="J6" s="12" t="s">
        <v>26</v>
      </c>
      <c r="K6" s="14"/>
      <c r="L6" s="14"/>
      <c r="M6" s="14"/>
      <c r="N6" s="14"/>
      <c r="O6" s="14"/>
      <c r="P6" s="14" t="s">
        <v>30</v>
      </c>
      <c r="Q6" s="12" t="str">
        <f t="shared" si="1"/>
        <v/>
      </c>
      <c r="R6" s="12" t="str">
        <f t="shared" si="2"/>
        <v/>
      </c>
      <c r="S6" s="12"/>
      <c r="T6" s="12"/>
      <c r="U6" s="14"/>
      <c r="V6" s="14" t="s">
        <v>32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45722.0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0.20625</v>
      </c>
      <c r="G7" s="12">
        <v>0.23611111111111113</v>
      </c>
      <c r="H7" s="13">
        <v>2.0</v>
      </c>
      <c r="I7" s="12">
        <v>0.247916666666666</v>
      </c>
      <c r="J7" s="12" t="s">
        <v>28</v>
      </c>
      <c r="K7" s="14"/>
      <c r="L7" s="14"/>
      <c r="M7" s="14"/>
      <c r="N7" s="14"/>
      <c r="O7" s="14"/>
      <c r="P7" s="14"/>
      <c r="Q7" s="12" t="str">
        <f t="shared" si="1"/>
        <v/>
      </c>
      <c r="R7" s="12" t="str">
        <f t="shared" si="2"/>
        <v/>
      </c>
      <c r="S7" s="12"/>
      <c r="T7" s="12"/>
      <c r="U7" s="14"/>
      <c r="V7" s="14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45722.0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0.20625</v>
      </c>
      <c r="G8" s="12">
        <v>0.23611111111111113</v>
      </c>
      <c r="H8" s="13">
        <v>2.0</v>
      </c>
      <c r="I8" s="12">
        <v>0.249305555555555</v>
      </c>
      <c r="J8" s="12" t="s">
        <v>26</v>
      </c>
      <c r="K8" s="14"/>
      <c r="L8" s="14"/>
      <c r="M8" s="14"/>
      <c r="N8" s="14"/>
      <c r="O8" s="14"/>
      <c r="P8" s="14" t="s">
        <v>30</v>
      </c>
      <c r="Q8" s="12" t="str">
        <f t="shared" si="1"/>
        <v/>
      </c>
      <c r="R8" s="12" t="str">
        <f t="shared" si="2"/>
        <v/>
      </c>
      <c r="S8" s="12"/>
      <c r="T8" s="12"/>
      <c r="U8" s="14"/>
      <c r="V8" s="14" t="s">
        <v>33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45722.0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0.20625</v>
      </c>
      <c r="G9" s="12">
        <v>0.23611111111111113</v>
      </c>
      <c r="H9" s="13">
        <v>2.0</v>
      </c>
      <c r="I9" s="12">
        <v>0.250694444444444</v>
      </c>
      <c r="J9" s="12" t="s">
        <v>28</v>
      </c>
      <c r="K9" s="14"/>
      <c r="L9" s="14"/>
      <c r="M9" s="14"/>
      <c r="N9" s="14"/>
      <c r="O9" s="14"/>
      <c r="P9" s="14"/>
      <c r="Q9" s="12" t="str">
        <f t="shared" si="1"/>
        <v/>
      </c>
      <c r="R9" s="12" t="str">
        <f t="shared" si="2"/>
        <v/>
      </c>
      <c r="S9" s="12"/>
      <c r="T9" s="12"/>
      <c r="U9" s="14"/>
      <c r="V9" s="14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45722.0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0.20625</v>
      </c>
      <c r="G10" s="12">
        <v>0.23611111111111113</v>
      </c>
      <c r="H10" s="13">
        <v>2.0</v>
      </c>
      <c r="I10" s="12">
        <v>0.254166666666666</v>
      </c>
      <c r="J10" s="12" t="s">
        <v>34</v>
      </c>
      <c r="K10" s="14" t="s">
        <v>35</v>
      </c>
      <c r="L10" s="14" t="s">
        <v>36</v>
      </c>
      <c r="M10" s="14" t="s">
        <v>37</v>
      </c>
      <c r="N10" s="14" t="s">
        <v>38</v>
      </c>
      <c r="O10" s="14"/>
      <c r="P10" s="14" t="s">
        <v>30</v>
      </c>
      <c r="Q10" s="12">
        <f t="shared" si="1"/>
        <v>0.2541666667</v>
      </c>
      <c r="R10" s="12">
        <f t="shared" si="2"/>
        <v>0.2597222222</v>
      </c>
      <c r="S10" s="12">
        <v>0.25416666666666665</v>
      </c>
      <c r="T10" s="12">
        <v>0.2548611111111111</v>
      </c>
      <c r="U10" s="14">
        <v>7.0</v>
      </c>
      <c r="V10" s="14" t="s">
        <v>39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45722.0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0.20625</v>
      </c>
      <c r="G11" s="12">
        <v>0.23611111111111113</v>
      </c>
      <c r="H11" s="13">
        <v>2.0</v>
      </c>
      <c r="I11" s="12">
        <v>0.259722222222222</v>
      </c>
      <c r="J11" s="12" t="s">
        <v>28</v>
      </c>
      <c r="K11" s="14"/>
      <c r="L11" s="14"/>
      <c r="M11" s="14"/>
      <c r="N11" s="14"/>
      <c r="O11" s="14"/>
      <c r="P11" s="14"/>
      <c r="Q11" s="12" t="str">
        <f t="shared" si="1"/>
        <v/>
      </c>
      <c r="R11" s="12" t="str">
        <f t="shared" si="2"/>
        <v/>
      </c>
      <c r="S11" s="12"/>
      <c r="T11" s="12"/>
      <c r="U11" s="14"/>
      <c r="V11" s="14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45722.0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0.20625</v>
      </c>
      <c r="G12" s="12">
        <v>0.23611111111111113</v>
      </c>
      <c r="H12" s="13">
        <v>1.0</v>
      </c>
      <c r="I12" s="12">
        <v>0.263194444444444</v>
      </c>
      <c r="J12" s="12" t="s">
        <v>26</v>
      </c>
      <c r="K12" s="14"/>
      <c r="L12" s="14"/>
      <c r="M12" s="14"/>
      <c r="N12" s="14"/>
      <c r="O12" s="14"/>
      <c r="P12" s="14" t="s">
        <v>30</v>
      </c>
      <c r="Q12" s="12" t="str">
        <f t="shared" si="1"/>
        <v/>
      </c>
      <c r="R12" s="12" t="str">
        <f t="shared" si="2"/>
        <v/>
      </c>
      <c r="S12" s="12"/>
      <c r="T12" s="12"/>
      <c r="U12" s="14"/>
      <c r="V12" s="14" t="s">
        <v>40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45722.0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0.20625</v>
      </c>
      <c r="G13" s="12">
        <v>0.23611111111111113</v>
      </c>
      <c r="H13" s="13">
        <v>2.0</v>
      </c>
      <c r="I13" s="12">
        <v>0.276388888888889</v>
      </c>
      <c r="J13" s="12" t="s">
        <v>28</v>
      </c>
      <c r="K13" s="14"/>
      <c r="L13" s="14"/>
      <c r="M13" s="14"/>
      <c r="N13" s="14"/>
      <c r="O13" s="14"/>
      <c r="P13" s="14"/>
      <c r="Q13" s="12" t="str">
        <f t="shared" si="1"/>
        <v/>
      </c>
      <c r="R13" s="12" t="str">
        <f t="shared" si="2"/>
        <v/>
      </c>
      <c r="S13" s="12"/>
      <c r="T13" s="12"/>
      <c r="U13" s="14"/>
      <c r="V13" s="14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45722.0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0.20625</v>
      </c>
      <c r="G14" s="12">
        <v>0.23611111111111113</v>
      </c>
      <c r="H14" s="13">
        <v>2.0</v>
      </c>
      <c r="I14" s="12">
        <v>0.277777777777778</v>
      </c>
      <c r="J14" s="12" t="s">
        <v>26</v>
      </c>
      <c r="K14" s="14"/>
      <c r="L14" s="14"/>
      <c r="M14" s="14"/>
      <c r="N14" s="14"/>
      <c r="O14" s="14"/>
      <c r="P14" s="14" t="s">
        <v>30</v>
      </c>
      <c r="Q14" s="12" t="str">
        <f t="shared" si="1"/>
        <v/>
      </c>
      <c r="R14" s="12" t="str">
        <f t="shared" si="2"/>
        <v/>
      </c>
      <c r="S14" s="12"/>
      <c r="T14" s="12"/>
      <c r="U14" s="14"/>
      <c r="V14" s="14" t="s">
        <v>41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45722.0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0.20625</v>
      </c>
      <c r="G15" s="12">
        <v>0.23611111111111113</v>
      </c>
      <c r="H15" s="13">
        <v>2.0</v>
      </c>
      <c r="I15" s="12">
        <v>0.297222222222213</v>
      </c>
      <c r="J15" s="12" t="s">
        <v>28</v>
      </c>
      <c r="K15" s="14"/>
      <c r="L15" s="14"/>
      <c r="M15" s="14"/>
      <c r="N15" s="14"/>
      <c r="O15" s="14"/>
      <c r="P15" s="14"/>
      <c r="Q15" s="12" t="str">
        <f t="shared" si="1"/>
        <v/>
      </c>
      <c r="R15" s="12" t="str">
        <f t="shared" si="2"/>
        <v/>
      </c>
      <c r="S15" s="12"/>
      <c r="T15" s="12"/>
      <c r="U15" s="14"/>
      <c r="V15" s="14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45722.0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0.20625</v>
      </c>
      <c r="G16" s="12">
        <v>0.23611111111111113</v>
      </c>
      <c r="H16" s="13">
        <v>1.0</v>
      </c>
      <c r="I16" s="12">
        <v>0.299305555555545</v>
      </c>
      <c r="J16" s="12" t="s">
        <v>26</v>
      </c>
      <c r="K16" s="14"/>
      <c r="L16" s="14"/>
      <c r="M16" s="14"/>
      <c r="N16" s="14"/>
      <c r="O16" s="14"/>
      <c r="P16" s="14" t="s">
        <v>30</v>
      </c>
      <c r="Q16" s="12" t="str">
        <f t="shared" si="1"/>
        <v/>
      </c>
      <c r="R16" s="12" t="str">
        <f t="shared" si="2"/>
        <v/>
      </c>
      <c r="S16" s="12"/>
      <c r="T16" s="12"/>
      <c r="U16" s="14"/>
      <c r="V16" s="14" t="s">
        <v>31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45722.0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0.20625</v>
      </c>
      <c r="G17" s="12">
        <v>0.23611111111111113</v>
      </c>
      <c r="H17" s="13">
        <v>2.0</v>
      </c>
      <c r="I17" s="12">
        <v>0.302777777777765</v>
      </c>
      <c r="J17" s="12" t="s">
        <v>28</v>
      </c>
      <c r="K17" s="14"/>
      <c r="L17" s="14"/>
      <c r="M17" s="14"/>
      <c r="N17" s="14"/>
      <c r="O17" s="14"/>
      <c r="P17" s="14"/>
      <c r="Q17" s="12" t="str">
        <f t="shared" si="1"/>
        <v/>
      </c>
      <c r="R17" s="12" t="str">
        <f t="shared" si="2"/>
        <v/>
      </c>
      <c r="S17" s="12"/>
      <c r="T17" s="12"/>
      <c r="U17" s="14"/>
      <c r="V17" s="14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45722.0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0.20625</v>
      </c>
      <c r="G18" s="12">
        <v>0.23611111111111113</v>
      </c>
      <c r="H18" s="13">
        <v>2.0</v>
      </c>
      <c r="I18" s="12">
        <v>0.304861111111097</v>
      </c>
      <c r="J18" s="12" t="s">
        <v>26</v>
      </c>
      <c r="K18" s="14"/>
      <c r="L18" s="14"/>
      <c r="M18" s="14"/>
      <c r="N18" s="14"/>
      <c r="O18" s="14"/>
      <c r="P18" s="14" t="s">
        <v>30</v>
      </c>
      <c r="Q18" s="12" t="str">
        <f t="shared" si="1"/>
        <v/>
      </c>
      <c r="R18" s="12" t="str">
        <f t="shared" si="2"/>
        <v/>
      </c>
      <c r="S18" s="12"/>
      <c r="T18" s="12"/>
      <c r="U18" s="14"/>
      <c r="V18" s="14" t="s">
        <v>32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45722.0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0.20625</v>
      </c>
      <c r="G19" s="12">
        <v>0.23611111111111113</v>
      </c>
      <c r="H19" s="13">
        <v>2.0</v>
      </c>
      <c r="I19" s="12">
        <v>0.311111111111093</v>
      </c>
      <c r="J19" s="12" t="s">
        <v>28</v>
      </c>
      <c r="K19" s="14"/>
      <c r="L19" s="14"/>
      <c r="M19" s="14"/>
      <c r="N19" s="14"/>
      <c r="O19" s="14"/>
      <c r="P19" s="14"/>
      <c r="Q19" s="12" t="str">
        <f t="shared" si="1"/>
        <v/>
      </c>
      <c r="R19" s="12" t="str">
        <f t="shared" si="2"/>
        <v/>
      </c>
      <c r="S19" s="12"/>
      <c r="T19" s="12"/>
      <c r="U19" s="14"/>
      <c r="V19" s="14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45722.0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0.20625</v>
      </c>
      <c r="G20" s="12">
        <v>0.23611111111111113</v>
      </c>
      <c r="H20" s="13">
        <v>2.0</v>
      </c>
      <c r="I20" s="12">
        <v>0.315972222222201</v>
      </c>
      <c r="J20" s="12" t="s">
        <v>26</v>
      </c>
      <c r="K20" s="14"/>
      <c r="L20" s="14"/>
      <c r="M20" s="14"/>
      <c r="N20" s="14"/>
      <c r="O20" s="14"/>
      <c r="P20" s="14" t="s">
        <v>30</v>
      </c>
      <c r="Q20" s="12" t="str">
        <f t="shared" si="1"/>
        <v/>
      </c>
      <c r="R20" s="12" t="str">
        <f>IF(J20="F",#REF!,"")</f>
        <v/>
      </c>
      <c r="S20" s="12"/>
      <c r="T20" s="12"/>
      <c r="U20" s="14"/>
      <c r="V20" s="14" t="s">
        <v>42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45722.0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0.20625</v>
      </c>
      <c r="G21" s="12">
        <v>0.23611111111111113</v>
      </c>
      <c r="H21" s="13">
        <v>2.0</v>
      </c>
      <c r="I21" s="12">
        <v>0.324999999999973</v>
      </c>
      <c r="J21" s="12" t="s">
        <v>28</v>
      </c>
      <c r="K21" s="14"/>
      <c r="L21" s="14"/>
      <c r="M21" s="14"/>
      <c r="N21" s="14"/>
      <c r="O21" s="14"/>
      <c r="P21" s="14"/>
      <c r="Q21" s="12" t="str">
        <f t="shared" si="1"/>
        <v/>
      </c>
      <c r="R21" s="12" t="str">
        <f t="shared" ref="R21:R62" si="3">IF(J21="F",I22,"")</f>
        <v/>
      </c>
      <c r="S21" s="12"/>
      <c r="T21" s="12"/>
      <c r="U21" s="14"/>
      <c r="V21" s="14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45722.0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0.20625</v>
      </c>
      <c r="G22" s="12">
        <v>0.23611111111111113</v>
      </c>
      <c r="H22" s="13">
        <v>2.0</v>
      </c>
      <c r="I22" s="12">
        <v>0.331249999999969</v>
      </c>
      <c r="J22" s="12" t="s">
        <v>26</v>
      </c>
      <c r="K22" s="14"/>
      <c r="L22" s="14"/>
      <c r="M22" s="14"/>
      <c r="N22" s="14"/>
      <c r="O22" s="14"/>
      <c r="P22" s="14" t="s">
        <v>30</v>
      </c>
      <c r="Q22" s="12" t="str">
        <f t="shared" si="1"/>
        <v/>
      </c>
      <c r="R22" s="12" t="str">
        <f t="shared" si="3"/>
        <v/>
      </c>
      <c r="S22" s="12"/>
      <c r="T22" s="12"/>
      <c r="U22" s="14"/>
      <c r="V22" s="14" t="s">
        <v>43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45722.0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0.20625</v>
      </c>
      <c r="G23" s="12">
        <v>0.23611111111111113</v>
      </c>
      <c r="H23" s="13">
        <v>2.0</v>
      </c>
      <c r="I23" s="12">
        <v>0.338194444444409</v>
      </c>
      <c r="J23" s="12" t="s">
        <v>28</v>
      </c>
      <c r="K23" s="14"/>
      <c r="L23" s="14"/>
      <c r="M23" s="14"/>
      <c r="N23" s="14"/>
      <c r="O23" s="14"/>
      <c r="P23" s="14"/>
      <c r="Q23" s="12" t="str">
        <f t="shared" si="1"/>
        <v/>
      </c>
      <c r="R23" s="12" t="str">
        <f t="shared" si="3"/>
        <v/>
      </c>
      <c r="S23" s="12"/>
      <c r="T23" s="12"/>
      <c r="U23" s="14"/>
      <c r="V23" s="14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45722.0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0.20625</v>
      </c>
      <c r="G24" s="12">
        <v>0.23611111111111113</v>
      </c>
      <c r="H24" s="13">
        <v>2.0</v>
      </c>
      <c r="I24" s="12">
        <v>0.343749999999961</v>
      </c>
      <c r="J24" s="12" t="s">
        <v>26</v>
      </c>
      <c r="K24" s="14"/>
      <c r="L24" s="14"/>
      <c r="M24" s="14"/>
      <c r="N24" s="14"/>
      <c r="O24" s="14"/>
      <c r="P24" s="14" t="s">
        <v>30</v>
      </c>
      <c r="Q24" s="12" t="str">
        <f t="shared" si="1"/>
        <v/>
      </c>
      <c r="R24" s="12" t="str">
        <f t="shared" si="3"/>
        <v/>
      </c>
      <c r="S24" s="12"/>
      <c r="T24" s="12"/>
      <c r="U24" s="14"/>
      <c r="V24" s="14" t="s">
        <v>44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45722.0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0.20625</v>
      </c>
      <c r="G25" s="12">
        <v>0.23611111111111113</v>
      </c>
      <c r="H25" s="13">
        <v>2.0</v>
      </c>
      <c r="I25" s="12">
        <v>0.346527777777737</v>
      </c>
      <c r="J25" s="12" t="s">
        <v>34</v>
      </c>
      <c r="K25" s="14" t="s">
        <v>45</v>
      </c>
      <c r="L25" s="14" t="s">
        <v>36</v>
      </c>
      <c r="M25" s="14" t="s">
        <v>46</v>
      </c>
      <c r="N25" s="14" t="s">
        <v>47</v>
      </c>
      <c r="O25" s="14"/>
      <c r="P25" s="14" t="s">
        <v>30</v>
      </c>
      <c r="Q25" s="12">
        <f t="shared" si="1"/>
        <v>0.3465277778</v>
      </c>
      <c r="R25" s="12">
        <f t="shared" si="3"/>
        <v>0.3479166667</v>
      </c>
      <c r="S25" s="12"/>
      <c r="T25" s="12"/>
      <c r="U25" s="14"/>
      <c r="V25" s="14" t="s">
        <v>48</v>
      </c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45722.0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0.20625</v>
      </c>
      <c r="G26" s="12">
        <v>0.23611111111111113</v>
      </c>
      <c r="H26" s="13">
        <v>2.0</v>
      </c>
      <c r="I26" s="12">
        <v>0.347916666666625</v>
      </c>
      <c r="J26" s="12" t="s">
        <v>28</v>
      </c>
      <c r="K26" s="14"/>
      <c r="L26" s="14"/>
      <c r="M26" s="14"/>
      <c r="N26" s="14"/>
      <c r="O26" s="14"/>
      <c r="P26" s="14"/>
      <c r="Q26" s="12" t="str">
        <f t="shared" si="1"/>
        <v/>
      </c>
      <c r="R26" s="12" t="str">
        <f t="shared" si="3"/>
        <v/>
      </c>
      <c r="S26" s="12"/>
      <c r="T26" s="12"/>
      <c r="U26" s="14"/>
      <c r="V26" s="14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45722.0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0.20625</v>
      </c>
      <c r="G27" s="12">
        <v>0.23611111111111113</v>
      </c>
      <c r="H27" s="13">
        <v>2.0</v>
      </c>
      <c r="I27" s="12">
        <v>0.350694444444401</v>
      </c>
      <c r="J27" s="12" t="s">
        <v>34</v>
      </c>
      <c r="K27" s="14" t="s">
        <v>45</v>
      </c>
      <c r="L27" s="14" t="s">
        <v>36</v>
      </c>
      <c r="M27" s="14" t="s">
        <v>46</v>
      </c>
      <c r="N27" s="14" t="s">
        <v>47</v>
      </c>
      <c r="O27" s="14"/>
      <c r="P27" s="14" t="s">
        <v>30</v>
      </c>
      <c r="Q27" s="12">
        <f t="shared" si="1"/>
        <v>0.3506944444</v>
      </c>
      <c r="R27" s="12">
        <f t="shared" si="3"/>
        <v>0.3604166667</v>
      </c>
      <c r="S27" s="12">
        <v>0.3506944444444444</v>
      </c>
      <c r="T27" s="12">
        <v>0.35138888888888886</v>
      </c>
      <c r="U27" s="14">
        <v>20.0</v>
      </c>
      <c r="V27" s="14" t="s">
        <v>49</v>
      </c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45722.0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0.20625</v>
      </c>
      <c r="G28" s="12">
        <v>0.23611111111111113</v>
      </c>
      <c r="H28" s="13">
        <v>2.0</v>
      </c>
      <c r="I28" s="12">
        <v>0.360416666666617</v>
      </c>
      <c r="J28" s="12" t="s">
        <v>28</v>
      </c>
      <c r="K28" s="14"/>
      <c r="L28" s="14"/>
      <c r="M28" s="14"/>
      <c r="N28" s="14"/>
      <c r="O28" s="14"/>
      <c r="P28" s="14"/>
      <c r="Q28" s="12" t="str">
        <f t="shared" si="1"/>
        <v/>
      </c>
      <c r="R28" s="12" t="str">
        <f t="shared" si="3"/>
        <v/>
      </c>
      <c r="S28" s="12"/>
      <c r="T28" s="12"/>
      <c r="U28" s="14"/>
      <c r="V28" s="14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45722.0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0.20625</v>
      </c>
      <c r="G29" s="12">
        <v>0.23611111111111113</v>
      </c>
      <c r="H29" s="13">
        <v>2.0</v>
      </c>
      <c r="I29" s="12">
        <v>0.361805555555505</v>
      </c>
      <c r="J29" s="12" t="s">
        <v>26</v>
      </c>
      <c r="K29" s="14"/>
      <c r="L29" s="14"/>
      <c r="M29" s="14"/>
      <c r="N29" s="14"/>
      <c r="O29" s="14"/>
      <c r="P29" s="14" t="s">
        <v>30</v>
      </c>
      <c r="Q29" s="12" t="str">
        <f t="shared" si="1"/>
        <v/>
      </c>
      <c r="R29" s="12" t="str">
        <f t="shared" si="3"/>
        <v/>
      </c>
      <c r="S29" s="12"/>
      <c r="T29" s="12"/>
      <c r="U29" s="14"/>
      <c r="V29" s="14" t="s">
        <v>50</v>
      </c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45722.0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0.20625</v>
      </c>
      <c r="G30" s="12">
        <v>0.23611111111111113</v>
      </c>
      <c r="H30" s="13">
        <v>2.0</v>
      </c>
      <c r="I30" s="12">
        <v>0.366666666666613</v>
      </c>
      <c r="J30" s="12" t="s">
        <v>28</v>
      </c>
      <c r="K30" s="14"/>
      <c r="L30" s="14"/>
      <c r="M30" s="14"/>
      <c r="N30" s="14"/>
      <c r="O30" s="14"/>
      <c r="P30" s="14"/>
      <c r="Q30" s="12" t="str">
        <f t="shared" si="1"/>
        <v/>
      </c>
      <c r="R30" s="12" t="str">
        <f t="shared" si="3"/>
        <v/>
      </c>
      <c r="S30" s="12"/>
      <c r="T30" s="12"/>
      <c r="U30" s="14"/>
      <c r="V30" s="14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45722.0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0.20625</v>
      </c>
      <c r="G31" s="12">
        <v>0.23611111111111113</v>
      </c>
      <c r="H31" s="13">
        <v>2.0</v>
      </c>
      <c r="I31" s="12">
        <v>0.373611111111053</v>
      </c>
      <c r="J31" s="12" t="s">
        <v>26</v>
      </c>
      <c r="K31" s="14"/>
      <c r="L31" s="14"/>
      <c r="M31" s="14"/>
      <c r="N31" s="14"/>
      <c r="O31" s="14"/>
      <c r="P31" s="14" t="s">
        <v>30</v>
      </c>
      <c r="Q31" s="12" t="str">
        <f t="shared" si="1"/>
        <v/>
      </c>
      <c r="R31" s="12" t="str">
        <f t="shared" si="3"/>
        <v/>
      </c>
      <c r="S31" s="12"/>
      <c r="T31" s="12"/>
      <c r="U31" s="14"/>
      <c r="V31" s="14" t="s">
        <v>51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45722.0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0.20625</v>
      </c>
      <c r="G32" s="12">
        <v>0.23611111111111113</v>
      </c>
      <c r="H32" s="13">
        <v>2.0</v>
      </c>
      <c r="I32" s="12">
        <v>0.379166666666605</v>
      </c>
      <c r="J32" s="12" t="s">
        <v>28</v>
      </c>
      <c r="K32" s="14"/>
      <c r="L32" s="14"/>
      <c r="M32" s="14"/>
      <c r="N32" s="14"/>
      <c r="O32" s="14"/>
      <c r="P32" s="14"/>
      <c r="Q32" s="12" t="str">
        <f t="shared" si="1"/>
        <v/>
      </c>
      <c r="R32" s="12" t="str">
        <f t="shared" si="3"/>
        <v/>
      </c>
      <c r="S32" s="12"/>
      <c r="T32" s="12"/>
      <c r="U32" s="14"/>
      <c r="V32" s="14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45722.0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0.20625</v>
      </c>
      <c r="G33" s="12">
        <v>0.23611111111111113</v>
      </c>
      <c r="H33" s="13">
        <v>2.0</v>
      </c>
      <c r="I33" s="12">
        <v>0.380555555555493</v>
      </c>
      <c r="J33" s="12" t="s">
        <v>26</v>
      </c>
      <c r="K33" s="14"/>
      <c r="L33" s="14"/>
      <c r="M33" s="14"/>
      <c r="N33" s="14"/>
      <c r="O33" s="14"/>
      <c r="P33" s="14" t="s">
        <v>30</v>
      </c>
      <c r="Q33" s="12" t="str">
        <f t="shared" si="1"/>
        <v/>
      </c>
      <c r="R33" s="12" t="str">
        <f t="shared" si="3"/>
        <v/>
      </c>
      <c r="S33" s="12"/>
      <c r="T33" s="12"/>
      <c r="U33" s="14"/>
      <c r="V33" s="14" t="s">
        <v>52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45722.0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0.20625</v>
      </c>
      <c r="G34" s="12">
        <v>0.23611111111111113</v>
      </c>
      <c r="H34" s="13">
        <v>2.0</v>
      </c>
      <c r="I34" s="12">
        <v>0.392361111111041</v>
      </c>
      <c r="J34" s="12" t="s">
        <v>28</v>
      </c>
      <c r="K34" s="14"/>
      <c r="L34" s="14"/>
      <c r="M34" s="14"/>
      <c r="N34" s="14"/>
      <c r="O34" s="14"/>
      <c r="P34" s="14"/>
      <c r="Q34" s="12" t="str">
        <f t="shared" si="1"/>
        <v/>
      </c>
      <c r="R34" s="12" t="str">
        <f t="shared" si="3"/>
        <v/>
      </c>
      <c r="S34" s="12"/>
      <c r="T34" s="12"/>
      <c r="U34" s="14"/>
      <c r="V34" s="14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45722.0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0.20625</v>
      </c>
      <c r="G35" s="12">
        <v>0.23611111111111113</v>
      </c>
      <c r="H35" s="13">
        <v>2.0</v>
      </c>
      <c r="I35" s="12">
        <v>0.395138888888817</v>
      </c>
      <c r="J35" s="12" t="s">
        <v>26</v>
      </c>
      <c r="K35" s="14"/>
      <c r="L35" s="14"/>
      <c r="M35" s="14"/>
      <c r="N35" s="14"/>
      <c r="O35" s="14"/>
      <c r="P35" s="14" t="s">
        <v>30</v>
      </c>
      <c r="Q35" s="12" t="str">
        <f t="shared" si="1"/>
        <v/>
      </c>
      <c r="R35" s="12" t="str">
        <f t="shared" si="3"/>
        <v/>
      </c>
      <c r="S35" s="12"/>
      <c r="T35" s="12"/>
      <c r="U35" s="14"/>
      <c r="V35" s="14" t="s">
        <v>53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45722.0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0.20625</v>
      </c>
      <c r="G36" s="12">
        <v>0.23611111111111113</v>
      </c>
      <c r="H36" s="13">
        <v>2.0</v>
      </c>
      <c r="I36" s="12">
        <v>0.399999999999925</v>
      </c>
      <c r="J36" s="12" t="s">
        <v>28</v>
      </c>
      <c r="K36" s="14"/>
      <c r="L36" s="14"/>
      <c r="M36" s="14"/>
      <c r="N36" s="14"/>
      <c r="O36" s="14"/>
      <c r="P36" s="14"/>
      <c r="Q36" s="12" t="str">
        <f t="shared" si="1"/>
        <v/>
      </c>
      <c r="R36" s="12" t="str">
        <f t="shared" si="3"/>
        <v/>
      </c>
      <c r="S36" s="12"/>
      <c r="T36" s="12"/>
      <c r="U36" s="14"/>
      <c r="V36" s="14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45722.0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0.20625</v>
      </c>
      <c r="G37" s="12">
        <v>0.23611111111111113</v>
      </c>
      <c r="H37" s="13">
        <v>2.0</v>
      </c>
      <c r="I37" s="12">
        <v>0.402083333333257</v>
      </c>
      <c r="J37" s="12" t="s">
        <v>26</v>
      </c>
      <c r="K37" s="14"/>
      <c r="L37" s="14"/>
      <c r="M37" s="14"/>
      <c r="N37" s="14"/>
      <c r="O37" s="14"/>
      <c r="P37" s="14" t="s">
        <v>30</v>
      </c>
      <c r="Q37" s="12" t="str">
        <f t="shared" si="1"/>
        <v/>
      </c>
      <c r="R37" s="12" t="str">
        <f t="shared" si="3"/>
        <v/>
      </c>
      <c r="S37" s="12"/>
      <c r="T37" s="12"/>
      <c r="U37" s="14"/>
      <c r="V37" s="14" t="s">
        <v>54</v>
      </c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45722.0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0.20625</v>
      </c>
      <c r="G38" s="12">
        <v>0.23611111111111113</v>
      </c>
      <c r="H38" s="13">
        <v>2.0</v>
      </c>
      <c r="I38" s="12">
        <v>0.404166666666589</v>
      </c>
      <c r="J38" s="12" t="s">
        <v>28</v>
      </c>
      <c r="K38" s="14"/>
      <c r="L38" s="14"/>
      <c r="M38" s="14"/>
      <c r="N38" s="14"/>
      <c r="O38" s="14"/>
      <c r="P38" s="14"/>
      <c r="Q38" s="12" t="str">
        <f t="shared" si="1"/>
        <v/>
      </c>
      <c r="R38" s="12" t="str">
        <f t="shared" si="3"/>
        <v/>
      </c>
      <c r="S38" s="12"/>
      <c r="T38" s="12"/>
      <c r="U38" s="14"/>
      <c r="V38" s="14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45722.0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0.20625</v>
      </c>
      <c r="G39" s="12">
        <v>0.23611111111111113</v>
      </c>
      <c r="H39" s="13">
        <v>2.0</v>
      </c>
      <c r="I39" s="12">
        <v>0.406944444444365</v>
      </c>
      <c r="J39" s="12" t="s">
        <v>26</v>
      </c>
      <c r="K39" s="14"/>
      <c r="L39" s="14"/>
      <c r="M39" s="14"/>
      <c r="N39" s="14"/>
      <c r="O39" s="14"/>
      <c r="P39" s="14" t="s">
        <v>30</v>
      </c>
      <c r="Q39" s="12" t="str">
        <f t="shared" si="1"/>
        <v/>
      </c>
      <c r="R39" s="12" t="str">
        <f t="shared" si="3"/>
        <v/>
      </c>
      <c r="S39" s="12"/>
      <c r="T39" s="12"/>
      <c r="U39" s="14"/>
      <c r="V39" s="14" t="s">
        <v>55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45722.0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0.20625</v>
      </c>
      <c r="G40" s="12">
        <v>0.23611111111111113</v>
      </c>
      <c r="H40" s="13">
        <v>2.0</v>
      </c>
      <c r="I40" s="12">
        <v>0.409027777777697</v>
      </c>
      <c r="J40" s="12" t="s">
        <v>28</v>
      </c>
      <c r="K40" s="14"/>
      <c r="L40" s="14"/>
      <c r="M40" s="14"/>
      <c r="N40" s="14"/>
      <c r="O40" s="14"/>
      <c r="P40" s="14"/>
      <c r="Q40" s="12" t="str">
        <f t="shared" si="1"/>
        <v/>
      </c>
      <c r="R40" s="12" t="str">
        <f t="shared" si="3"/>
        <v/>
      </c>
      <c r="S40" s="12"/>
      <c r="T40" s="12"/>
      <c r="U40" s="14"/>
      <c r="V40" s="14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45722.0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0.20625</v>
      </c>
      <c r="G41" s="12">
        <v>0.23611111111111113</v>
      </c>
      <c r="H41" s="13">
        <v>2.0</v>
      </c>
      <c r="I41" s="12">
        <v>0.409722222222141</v>
      </c>
      <c r="J41" s="12" t="s">
        <v>34</v>
      </c>
      <c r="K41" s="14" t="s">
        <v>56</v>
      </c>
      <c r="L41" s="14" t="s">
        <v>36</v>
      </c>
      <c r="M41" s="14" t="s">
        <v>46</v>
      </c>
      <c r="N41" s="14" t="s">
        <v>47</v>
      </c>
      <c r="O41" s="14"/>
      <c r="P41" s="14" t="s">
        <v>30</v>
      </c>
      <c r="Q41" s="12">
        <f t="shared" si="1"/>
        <v>0.4097222222</v>
      </c>
      <c r="R41" s="12">
        <f t="shared" si="3"/>
        <v>0.4138888889</v>
      </c>
      <c r="S41" s="12">
        <v>0.4097222222222222</v>
      </c>
      <c r="T41" s="12">
        <v>0.41041666666666665</v>
      </c>
      <c r="U41" s="14">
        <v>7.0</v>
      </c>
      <c r="V41" s="14" t="s">
        <v>56</v>
      </c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45722.0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0.20625</v>
      </c>
      <c r="G42" s="12">
        <v>0.23611111111111113</v>
      </c>
      <c r="H42" s="13">
        <v>2.0</v>
      </c>
      <c r="I42" s="12">
        <v>0.413888888888805</v>
      </c>
      <c r="J42" s="12" t="s">
        <v>28</v>
      </c>
      <c r="K42" s="14"/>
      <c r="L42" s="14"/>
      <c r="M42" s="14"/>
      <c r="N42" s="14"/>
      <c r="O42" s="14"/>
      <c r="P42" s="14"/>
      <c r="Q42" s="12" t="str">
        <f t="shared" si="1"/>
        <v/>
      </c>
      <c r="R42" s="12" t="str">
        <f t="shared" si="3"/>
        <v/>
      </c>
      <c r="S42" s="12"/>
      <c r="T42" s="12"/>
      <c r="U42" s="14"/>
      <c r="V42" s="14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45722.0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0.20625</v>
      </c>
      <c r="G43" s="12">
        <v>0.23611111111111113</v>
      </c>
      <c r="H43" s="13">
        <v>2.0</v>
      </c>
      <c r="I43" s="12">
        <v>0.418749999999913</v>
      </c>
      <c r="J43" s="12" t="s">
        <v>34</v>
      </c>
      <c r="K43" s="14" t="s">
        <v>57</v>
      </c>
      <c r="L43" s="14" t="s">
        <v>58</v>
      </c>
      <c r="M43" s="14" t="s">
        <v>46</v>
      </c>
      <c r="N43" s="14" t="s">
        <v>47</v>
      </c>
      <c r="O43" s="14"/>
      <c r="P43" s="14" t="s">
        <v>30</v>
      </c>
      <c r="Q43" s="12">
        <f t="shared" si="1"/>
        <v>0.41875</v>
      </c>
      <c r="R43" s="12">
        <f t="shared" si="3"/>
        <v>0.4201388889</v>
      </c>
      <c r="S43" s="12">
        <v>0.41875</v>
      </c>
      <c r="T43" s="12">
        <v>0.41944444444444445</v>
      </c>
      <c r="U43" s="14">
        <v>1.0</v>
      </c>
      <c r="V43" s="14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45722.0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0.20625</v>
      </c>
      <c r="G44" s="12">
        <v>0.23611111111111113</v>
      </c>
      <c r="H44" s="13">
        <v>2.0</v>
      </c>
      <c r="I44" s="12">
        <v>0.420138888888801</v>
      </c>
      <c r="J44" s="12" t="s">
        <v>26</v>
      </c>
      <c r="K44" s="14"/>
      <c r="L44" s="14"/>
      <c r="M44" s="14"/>
      <c r="N44" s="14"/>
      <c r="O44" s="14"/>
      <c r="P44" s="14" t="s">
        <v>30</v>
      </c>
      <c r="Q44" s="12" t="str">
        <f t="shared" si="1"/>
        <v/>
      </c>
      <c r="R44" s="12" t="str">
        <f t="shared" si="3"/>
        <v/>
      </c>
      <c r="S44" s="12"/>
      <c r="T44" s="12"/>
      <c r="U44" s="14"/>
      <c r="V44" s="14" t="s">
        <v>59</v>
      </c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45722.0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0.20625</v>
      </c>
      <c r="G45" s="12">
        <v>0.23611111111111113</v>
      </c>
      <c r="H45" s="13">
        <v>2.0</v>
      </c>
      <c r="I45" s="12">
        <v>0.420833333333245</v>
      </c>
      <c r="J45" s="12" t="s">
        <v>28</v>
      </c>
      <c r="K45" s="14"/>
      <c r="L45" s="14"/>
      <c r="M45" s="14"/>
      <c r="N45" s="14"/>
      <c r="O45" s="14"/>
      <c r="P45" s="14"/>
      <c r="Q45" s="12" t="str">
        <f t="shared" si="1"/>
        <v/>
      </c>
      <c r="R45" s="12" t="str">
        <f t="shared" si="3"/>
        <v/>
      </c>
      <c r="S45" s="12"/>
      <c r="T45" s="12"/>
      <c r="U45" s="14"/>
      <c r="V45" s="14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45722.0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0.20625</v>
      </c>
      <c r="G46" s="12">
        <v>0.23611111111111113</v>
      </c>
      <c r="H46" s="13">
        <v>2.0</v>
      </c>
      <c r="I46" s="12">
        <v>0.422916666666577</v>
      </c>
      <c r="J46" s="12" t="s">
        <v>26</v>
      </c>
      <c r="K46" s="14"/>
      <c r="L46" s="14"/>
      <c r="M46" s="14"/>
      <c r="N46" s="14"/>
      <c r="O46" s="14"/>
      <c r="P46" s="14" t="s">
        <v>30</v>
      </c>
      <c r="Q46" s="12" t="str">
        <f t="shared" si="1"/>
        <v/>
      </c>
      <c r="R46" s="12" t="str">
        <f t="shared" si="3"/>
        <v/>
      </c>
      <c r="S46" s="12"/>
      <c r="T46" s="12"/>
      <c r="U46" s="14"/>
      <c r="V46" s="14" t="s">
        <v>53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45722.0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0.20625</v>
      </c>
      <c r="G47" s="12">
        <v>0.23611111111111113</v>
      </c>
      <c r="H47" s="13">
        <v>2.0</v>
      </c>
      <c r="I47" s="12">
        <v>0.425694444444353</v>
      </c>
      <c r="J47" s="12" t="s">
        <v>28</v>
      </c>
      <c r="K47" s="14"/>
      <c r="L47" s="14"/>
      <c r="M47" s="14"/>
      <c r="N47" s="14"/>
      <c r="O47" s="14"/>
      <c r="P47" s="14"/>
      <c r="Q47" s="12" t="str">
        <f t="shared" si="1"/>
        <v/>
      </c>
      <c r="R47" s="12" t="str">
        <f t="shared" si="3"/>
        <v/>
      </c>
      <c r="S47" s="12"/>
      <c r="T47" s="12"/>
      <c r="U47" s="14"/>
      <c r="V47" s="14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45722.0</v>
      </c>
      <c r="B48" s="11" t="s">
        <v>22</v>
      </c>
      <c r="C48" s="11" t="s">
        <v>23</v>
      </c>
      <c r="D48" s="11" t="s">
        <v>24</v>
      </c>
      <c r="E48" s="12" t="s">
        <v>25</v>
      </c>
      <c r="F48" s="12">
        <v>0.20625</v>
      </c>
      <c r="G48" s="12">
        <v>0.23611111111111113</v>
      </c>
      <c r="H48" s="13">
        <v>2.0</v>
      </c>
      <c r="I48" s="12">
        <v>0.429861111111017</v>
      </c>
      <c r="J48" s="12" t="s">
        <v>26</v>
      </c>
      <c r="K48" s="14"/>
      <c r="L48" s="14"/>
      <c r="M48" s="14"/>
      <c r="N48" s="14"/>
      <c r="O48" s="14"/>
      <c r="P48" s="14" t="s">
        <v>30</v>
      </c>
      <c r="Q48" s="12" t="str">
        <f t="shared" si="1"/>
        <v/>
      </c>
      <c r="R48" s="12" t="str">
        <f t="shared" si="3"/>
        <v/>
      </c>
      <c r="S48" s="12"/>
      <c r="T48" s="12"/>
      <c r="U48" s="14"/>
      <c r="V48" s="14" t="s">
        <v>60</v>
      </c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45722.0</v>
      </c>
      <c r="B49" s="11" t="s">
        <v>22</v>
      </c>
      <c r="C49" s="11" t="s">
        <v>23</v>
      </c>
      <c r="D49" s="11" t="s">
        <v>24</v>
      </c>
      <c r="E49" s="12" t="s">
        <v>25</v>
      </c>
      <c r="F49" s="12">
        <v>0.20625</v>
      </c>
      <c r="G49" s="12">
        <v>0.23611111111111113</v>
      </c>
      <c r="H49" s="13">
        <v>2.0</v>
      </c>
      <c r="I49" s="12">
        <v>0.433333333333237</v>
      </c>
      <c r="J49" s="12" t="s">
        <v>28</v>
      </c>
      <c r="K49" s="14"/>
      <c r="L49" s="14"/>
      <c r="M49" s="14"/>
      <c r="N49" s="14"/>
      <c r="O49" s="14"/>
      <c r="P49" s="14"/>
      <c r="Q49" s="12" t="str">
        <f t="shared" si="1"/>
        <v/>
      </c>
      <c r="R49" s="12" t="str">
        <f t="shared" si="3"/>
        <v/>
      </c>
      <c r="S49" s="12"/>
      <c r="T49" s="12"/>
      <c r="U49" s="14"/>
      <c r="V49" s="14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45722.0</v>
      </c>
      <c r="B50" s="11" t="s">
        <v>22</v>
      </c>
      <c r="C50" s="11" t="s">
        <v>23</v>
      </c>
      <c r="D50" s="11" t="s">
        <v>24</v>
      </c>
      <c r="E50" s="12" t="s">
        <v>25</v>
      </c>
      <c r="F50" s="12">
        <v>0.20625</v>
      </c>
      <c r="G50" s="12">
        <v>0.23611111111111113</v>
      </c>
      <c r="H50" s="13">
        <v>2.0</v>
      </c>
      <c r="I50" s="12">
        <v>0.437499999999901</v>
      </c>
      <c r="J50" s="12" t="s">
        <v>34</v>
      </c>
      <c r="K50" s="14" t="s">
        <v>32</v>
      </c>
      <c r="L50" s="14" t="s">
        <v>36</v>
      </c>
      <c r="M50" s="14" t="s">
        <v>46</v>
      </c>
      <c r="N50" s="14" t="s">
        <v>47</v>
      </c>
      <c r="O50" s="14"/>
      <c r="P50" s="14" t="s">
        <v>30</v>
      </c>
      <c r="Q50" s="12">
        <f t="shared" si="1"/>
        <v>0.4375</v>
      </c>
      <c r="R50" s="12">
        <f t="shared" si="3"/>
        <v>0.4395833333</v>
      </c>
      <c r="S50" s="12">
        <v>0.4375</v>
      </c>
      <c r="T50" s="12" t="s">
        <v>61</v>
      </c>
      <c r="U50" s="14">
        <v>1.0</v>
      </c>
      <c r="V50" s="14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45722.0</v>
      </c>
      <c r="B51" s="11" t="s">
        <v>22</v>
      </c>
      <c r="C51" s="11" t="s">
        <v>23</v>
      </c>
      <c r="D51" s="11" t="s">
        <v>24</v>
      </c>
      <c r="E51" s="12" t="s">
        <v>25</v>
      </c>
      <c r="F51" s="12">
        <v>0.20625</v>
      </c>
      <c r="G51" s="12">
        <v>0.23611111111111113</v>
      </c>
      <c r="H51" s="13">
        <v>2.0</v>
      </c>
      <c r="I51" s="12">
        <v>0.439583333333233</v>
      </c>
      <c r="J51" s="12" t="s">
        <v>28</v>
      </c>
      <c r="K51" s="14"/>
      <c r="L51" s="14"/>
      <c r="M51" s="14"/>
      <c r="N51" s="14"/>
      <c r="O51" s="14"/>
      <c r="P51" s="14"/>
      <c r="Q51" s="12" t="str">
        <f t="shared" si="1"/>
        <v/>
      </c>
      <c r="R51" s="12" t="str">
        <f t="shared" si="3"/>
        <v/>
      </c>
      <c r="S51" s="12"/>
      <c r="T51" s="12"/>
      <c r="U51" s="14"/>
      <c r="V51" s="14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45722.0</v>
      </c>
      <c r="B52" s="11" t="s">
        <v>22</v>
      </c>
      <c r="C52" s="11" t="s">
        <v>23</v>
      </c>
      <c r="D52" s="11" t="s">
        <v>24</v>
      </c>
      <c r="E52" s="12" t="s">
        <v>25</v>
      </c>
      <c r="F52" s="12">
        <v>0.20625</v>
      </c>
      <c r="G52" s="12">
        <v>0.23611111111111113</v>
      </c>
      <c r="H52" s="13">
        <v>2.0</v>
      </c>
      <c r="I52" s="12">
        <v>0.440277777777677</v>
      </c>
      <c r="J52" s="12" t="s">
        <v>26</v>
      </c>
      <c r="K52" s="14"/>
      <c r="L52" s="14"/>
      <c r="M52" s="14"/>
      <c r="N52" s="14"/>
      <c r="O52" s="14"/>
      <c r="P52" s="14" t="s">
        <v>30</v>
      </c>
      <c r="Q52" s="12" t="str">
        <f t="shared" si="1"/>
        <v/>
      </c>
      <c r="R52" s="12" t="str">
        <f t="shared" si="3"/>
        <v/>
      </c>
      <c r="S52" s="12"/>
      <c r="T52" s="12"/>
      <c r="U52" s="14"/>
      <c r="V52" s="14" t="s">
        <v>62</v>
      </c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45722.0</v>
      </c>
      <c r="B53" s="11" t="s">
        <v>22</v>
      </c>
      <c r="C53" s="11" t="s">
        <v>23</v>
      </c>
      <c r="D53" s="11" t="s">
        <v>24</v>
      </c>
      <c r="E53" s="12" t="s">
        <v>25</v>
      </c>
      <c r="F53" s="12">
        <v>0.20625</v>
      </c>
      <c r="G53" s="12">
        <v>0.23611111111111113</v>
      </c>
      <c r="H53" s="13">
        <v>2.0</v>
      </c>
      <c r="I53" s="12">
        <v>0.440972222222121</v>
      </c>
      <c r="J53" s="12" t="s">
        <v>28</v>
      </c>
      <c r="K53" s="14"/>
      <c r="L53" s="14"/>
      <c r="M53" s="14"/>
      <c r="N53" s="14"/>
      <c r="O53" s="14"/>
      <c r="P53" s="14"/>
      <c r="Q53" s="12" t="str">
        <f t="shared" si="1"/>
        <v/>
      </c>
      <c r="R53" s="12" t="str">
        <f t="shared" si="3"/>
        <v/>
      </c>
      <c r="S53" s="12"/>
      <c r="T53" s="12"/>
      <c r="U53" s="14"/>
      <c r="V53" s="14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45722.0</v>
      </c>
      <c r="B54" s="11" t="s">
        <v>22</v>
      </c>
      <c r="C54" s="11" t="s">
        <v>23</v>
      </c>
      <c r="D54" s="11" t="s">
        <v>24</v>
      </c>
      <c r="E54" s="12" t="s">
        <v>25</v>
      </c>
      <c r="F54" s="12">
        <v>0.20625</v>
      </c>
      <c r="G54" s="12">
        <v>0.23611111111111113</v>
      </c>
      <c r="H54" s="13">
        <v>2.0</v>
      </c>
      <c r="I54" s="12">
        <v>0.443749999999897</v>
      </c>
      <c r="J54" s="12" t="s">
        <v>26</v>
      </c>
      <c r="K54" s="14"/>
      <c r="L54" s="14"/>
      <c r="M54" s="14"/>
      <c r="N54" s="14"/>
      <c r="O54" s="14"/>
      <c r="P54" s="14" t="s">
        <v>30</v>
      </c>
      <c r="Q54" s="12" t="str">
        <f t="shared" si="1"/>
        <v/>
      </c>
      <c r="R54" s="12" t="str">
        <f t="shared" si="3"/>
        <v/>
      </c>
      <c r="S54" s="12"/>
      <c r="T54" s="12"/>
      <c r="U54" s="14"/>
      <c r="V54" s="14" t="s">
        <v>63</v>
      </c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45722.0</v>
      </c>
      <c r="B55" s="11" t="s">
        <v>22</v>
      </c>
      <c r="C55" s="11" t="s">
        <v>23</v>
      </c>
      <c r="D55" s="11" t="s">
        <v>24</v>
      </c>
      <c r="E55" s="12" t="s">
        <v>25</v>
      </c>
      <c r="F55" s="12">
        <v>0.20625</v>
      </c>
      <c r="G55" s="12">
        <v>0.23611111111111113</v>
      </c>
      <c r="H55" s="13">
        <v>2.0</v>
      </c>
      <c r="I55" s="12">
        <v>0.454861111111001</v>
      </c>
      <c r="J55" s="12" t="s">
        <v>28</v>
      </c>
      <c r="K55" s="14"/>
      <c r="L55" s="14"/>
      <c r="M55" s="14"/>
      <c r="N55" s="14"/>
      <c r="O55" s="14"/>
      <c r="P55" s="14"/>
      <c r="Q55" s="12" t="str">
        <f t="shared" si="1"/>
        <v/>
      </c>
      <c r="R55" s="12" t="str">
        <f t="shared" si="3"/>
        <v/>
      </c>
      <c r="S55" s="12"/>
      <c r="T55" s="12"/>
      <c r="U55" s="14"/>
      <c r="V55" s="14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45722.0</v>
      </c>
      <c r="B56" s="11" t="s">
        <v>22</v>
      </c>
      <c r="C56" s="11" t="s">
        <v>23</v>
      </c>
      <c r="D56" s="11" t="s">
        <v>24</v>
      </c>
      <c r="E56" s="12" t="s">
        <v>25</v>
      </c>
      <c r="F56" s="12">
        <v>0.20625</v>
      </c>
      <c r="G56" s="12">
        <v>0.23611111111111113</v>
      </c>
      <c r="H56" s="13">
        <v>1.0</v>
      </c>
      <c r="I56" s="12">
        <v>0.460416666666553</v>
      </c>
      <c r="J56" s="12" t="s">
        <v>26</v>
      </c>
      <c r="K56" s="14"/>
      <c r="L56" s="14"/>
      <c r="M56" s="14"/>
      <c r="N56" s="14"/>
      <c r="O56" s="14"/>
      <c r="P56" s="14" t="s">
        <v>30</v>
      </c>
      <c r="Q56" s="12" t="str">
        <f t="shared" si="1"/>
        <v/>
      </c>
      <c r="R56" s="12" t="str">
        <f t="shared" si="3"/>
        <v/>
      </c>
      <c r="S56" s="12"/>
      <c r="T56" s="12"/>
      <c r="U56" s="14"/>
      <c r="V56" s="14" t="s">
        <v>32</v>
      </c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45722.0</v>
      </c>
      <c r="B57" s="11" t="s">
        <v>22</v>
      </c>
      <c r="C57" s="11" t="s">
        <v>23</v>
      </c>
      <c r="D57" s="11" t="s">
        <v>24</v>
      </c>
      <c r="E57" s="12" t="s">
        <v>25</v>
      </c>
      <c r="F57" s="12">
        <v>0.20625</v>
      </c>
      <c r="G57" s="12">
        <v>0.23611111111111113</v>
      </c>
      <c r="H57" s="13">
        <v>2.0</v>
      </c>
      <c r="I57" s="12">
        <v>0.468749999999881</v>
      </c>
      <c r="J57" s="12" t="s">
        <v>28</v>
      </c>
      <c r="K57" s="14"/>
      <c r="L57" s="14"/>
      <c r="M57" s="14"/>
      <c r="N57" s="14"/>
      <c r="O57" s="14"/>
      <c r="P57" s="14"/>
      <c r="Q57" s="12" t="str">
        <f t="shared" si="1"/>
        <v/>
      </c>
      <c r="R57" s="12" t="str">
        <f t="shared" si="3"/>
        <v/>
      </c>
      <c r="S57" s="12"/>
      <c r="T57" s="12"/>
      <c r="U57" s="14"/>
      <c r="V57" s="14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45722.0</v>
      </c>
      <c r="B58" s="11" t="s">
        <v>22</v>
      </c>
      <c r="C58" s="11" t="s">
        <v>23</v>
      </c>
      <c r="D58" s="11" t="s">
        <v>24</v>
      </c>
      <c r="E58" s="12" t="s">
        <v>25</v>
      </c>
      <c r="F58" s="12">
        <v>0.20625</v>
      </c>
      <c r="G58" s="12">
        <v>0.23611111111111113</v>
      </c>
      <c r="H58" s="13">
        <v>2.0</v>
      </c>
      <c r="I58" s="12">
        <v>0.471527777777657</v>
      </c>
      <c r="J58" s="12" t="s">
        <v>26</v>
      </c>
      <c r="K58" s="14"/>
      <c r="L58" s="14"/>
      <c r="M58" s="14"/>
      <c r="N58" s="14"/>
      <c r="O58" s="14"/>
      <c r="P58" s="14" t="s">
        <v>30</v>
      </c>
      <c r="Q58" s="12" t="str">
        <f t="shared" si="1"/>
        <v/>
      </c>
      <c r="R58" s="12" t="str">
        <f t="shared" si="3"/>
        <v/>
      </c>
      <c r="S58" s="12"/>
      <c r="T58" s="12"/>
      <c r="U58" s="14"/>
      <c r="V58" s="14" t="s">
        <v>64</v>
      </c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45722.0</v>
      </c>
      <c r="B59" s="11" t="s">
        <v>22</v>
      </c>
      <c r="C59" s="11" t="s">
        <v>23</v>
      </c>
      <c r="D59" s="11" t="s">
        <v>24</v>
      </c>
      <c r="E59" s="12" t="s">
        <v>25</v>
      </c>
      <c r="F59" s="12">
        <v>0.20625</v>
      </c>
      <c r="G59" s="12">
        <v>0.23611111111111113</v>
      </c>
      <c r="H59" s="13">
        <v>2.0</v>
      </c>
      <c r="I59" s="12">
        <v>0.474999999999877</v>
      </c>
      <c r="J59" s="12" t="s">
        <v>28</v>
      </c>
      <c r="K59" s="14"/>
      <c r="L59" s="14"/>
      <c r="M59" s="14"/>
      <c r="N59" s="14"/>
      <c r="O59" s="14"/>
      <c r="P59" s="14"/>
      <c r="Q59" s="12" t="str">
        <f t="shared" si="1"/>
        <v/>
      </c>
      <c r="R59" s="12" t="str">
        <f t="shared" si="3"/>
        <v/>
      </c>
      <c r="S59" s="12"/>
      <c r="T59" s="12"/>
      <c r="U59" s="14"/>
      <c r="V59" s="14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45722.0</v>
      </c>
      <c r="B60" s="11" t="s">
        <v>22</v>
      </c>
      <c r="C60" s="11" t="s">
        <v>23</v>
      </c>
      <c r="D60" s="11" t="s">
        <v>24</v>
      </c>
      <c r="E60" s="12" t="s">
        <v>25</v>
      </c>
      <c r="F60" s="12">
        <v>0.20625</v>
      </c>
      <c r="G60" s="12">
        <v>0.23611111111111113</v>
      </c>
      <c r="H60" s="13">
        <v>2.0</v>
      </c>
      <c r="I60" s="12">
        <v>0.477083333333209</v>
      </c>
      <c r="J60" s="12" t="s">
        <v>26</v>
      </c>
      <c r="K60" s="14"/>
      <c r="L60" s="14"/>
      <c r="M60" s="14"/>
      <c r="N60" s="14"/>
      <c r="O60" s="14"/>
      <c r="P60" s="14" t="s">
        <v>30</v>
      </c>
      <c r="Q60" s="12" t="str">
        <f t="shared" si="1"/>
        <v/>
      </c>
      <c r="R60" s="12" t="str">
        <f t="shared" si="3"/>
        <v/>
      </c>
      <c r="S60" s="12"/>
      <c r="T60" s="12"/>
      <c r="U60" s="14"/>
      <c r="V60" s="14" t="s">
        <v>65</v>
      </c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45722.0</v>
      </c>
      <c r="B61" s="11" t="s">
        <v>22</v>
      </c>
      <c r="C61" s="11" t="s">
        <v>23</v>
      </c>
      <c r="D61" s="11" t="s">
        <v>24</v>
      </c>
      <c r="E61" s="12" t="s">
        <v>25</v>
      </c>
      <c r="F61" s="12">
        <v>0.20625</v>
      </c>
      <c r="G61" s="12">
        <v>0.23611111111111113</v>
      </c>
      <c r="H61" s="13">
        <v>2.0</v>
      </c>
      <c r="I61" s="12">
        <v>0.481944444444317</v>
      </c>
      <c r="J61" s="12" t="s">
        <v>28</v>
      </c>
      <c r="K61" s="14"/>
      <c r="L61" s="14"/>
      <c r="M61" s="14"/>
      <c r="N61" s="14"/>
      <c r="O61" s="14"/>
      <c r="P61" s="14"/>
      <c r="Q61" s="12" t="str">
        <f t="shared" si="1"/>
        <v/>
      </c>
      <c r="R61" s="12" t="str">
        <f t="shared" si="3"/>
        <v/>
      </c>
      <c r="S61" s="12"/>
      <c r="T61" s="12"/>
      <c r="U61" s="14"/>
      <c r="V61" s="14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45722.0</v>
      </c>
      <c r="B62" s="11" t="s">
        <v>22</v>
      </c>
      <c r="C62" s="11" t="s">
        <v>23</v>
      </c>
      <c r="D62" s="11" t="s">
        <v>24</v>
      </c>
      <c r="E62" s="12" t="s">
        <v>25</v>
      </c>
      <c r="F62" s="12">
        <v>0.20625</v>
      </c>
      <c r="G62" s="12">
        <v>0.23611111111111113</v>
      </c>
      <c r="H62" s="13">
        <v>1.0</v>
      </c>
      <c r="I62" s="12">
        <v>0.485416666666537</v>
      </c>
      <c r="J62" s="12" t="s">
        <v>26</v>
      </c>
      <c r="K62" s="14"/>
      <c r="L62" s="14"/>
      <c r="M62" s="14"/>
      <c r="N62" s="14"/>
      <c r="O62" s="14"/>
      <c r="P62" s="14" t="s">
        <v>30</v>
      </c>
      <c r="Q62" s="12" t="str">
        <f t="shared" si="1"/>
        <v/>
      </c>
      <c r="R62" s="12" t="str">
        <f t="shared" si="3"/>
        <v/>
      </c>
      <c r="S62" s="12"/>
      <c r="T62" s="12"/>
      <c r="U62" s="14"/>
      <c r="V62" s="14" t="s">
        <v>32</v>
      </c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45722.0</v>
      </c>
      <c r="B63" s="11" t="s">
        <v>22</v>
      </c>
      <c r="C63" s="11" t="s">
        <v>23</v>
      </c>
      <c r="D63" s="11" t="s">
        <v>24</v>
      </c>
      <c r="E63" s="12" t="s">
        <v>25</v>
      </c>
      <c r="F63" s="12">
        <v>0.20625</v>
      </c>
      <c r="G63" s="12">
        <v>0.23611111111111113</v>
      </c>
      <c r="H63" s="13">
        <v>1.0</v>
      </c>
      <c r="I63" s="12">
        <v>0.488194444444313</v>
      </c>
      <c r="J63" s="12" t="s">
        <v>34</v>
      </c>
      <c r="K63" s="14" t="s">
        <v>66</v>
      </c>
      <c r="L63" s="14" t="s">
        <v>67</v>
      </c>
      <c r="M63" s="14"/>
      <c r="N63" s="14"/>
      <c r="O63" s="14"/>
      <c r="P63" s="14" t="s">
        <v>30</v>
      </c>
      <c r="Q63" s="12">
        <f t="shared" si="1"/>
        <v>0.4881944444</v>
      </c>
      <c r="R63" s="12">
        <f>IF(J63="F",I65,"")</f>
        <v>0.4916666667</v>
      </c>
      <c r="S63" s="12"/>
      <c r="T63" s="12"/>
      <c r="U63" s="14"/>
      <c r="V63" s="14" t="s">
        <v>68</v>
      </c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45722.0</v>
      </c>
      <c r="B64" s="11" t="s">
        <v>22</v>
      </c>
      <c r="C64" s="11" t="s">
        <v>23</v>
      </c>
      <c r="D64" s="11" t="s">
        <v>24</v>
      </c>
      <c r="E64" s="12" t="s">
        <v>25</v>
      </c>
      <c r="F64" s="12">
        <v>0.20625</v>
      </c>
      <c r="G64" s="12">
        <v>0.23611111111111113</v>
      </c>
      <c r="H64" s="13">
        <v>1.0</v>
      </c>
      <c r="I64" s="12">
        <v>0.4909722222222222</v>
      </c>
      <c r="J64" s="12" t="s">
        <v>28</v>
      </c>
      <c r="K64" s="14"/>
      <c r="L64" s="14"/>
      <c r="M64" s="14"/>
      <c r="N64" s="14"/>
      <c r="O64" s="14"/>
      <c r="P64" s="14"/>
      <c r="Q64" s="12" t="str">
        <f t="shared" si="1"/>
        <v/>
      </c>
      <c r="R64" s="12"/>
      <c r="S64" s="12"/>
      <c r="T64" s="12"/>
      <c r="U64" s="14"/>
      <c r="V64" s="14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45722.0</v>
      </c>
      <c r="B65" s="11" t="s">
        <v>22</v>
      </c>
      <c r="C65" s="11" t="s">
        <v>23</v>
      </c>
      <c r="D65" s="11" t="s">
        <v>24</v>
      </c>
      <c r="E65" s="12" t="s">
        <v>25</v>
      </c>
      <c r="F65" s="12">
        <v>0.20625</v>
      </c>
      <c r="G65" s="12">
        <v>0.23611111111111113</v>
      </c>
      <c r="H65" s="13">
        <v>1.0</v>
      </c>
      <c r="I65" s="12">
        <v>0.491666666666533</v>
      </c>
      <c r="J65" s="12" t="s">
        <v>26</v>
      </c>
      <c r="K65" s="14"/>
      <c r="L65" s="14"/>
      <c r="M65" s="14"/>
      <c r="N65" s="14"/>
      <c r="O65" s="14"/>
      <c r="P65" s="14" t="s">
        <v>30</v>
      </c>
      <c r="Q65" s="12" t="str">
        <f t="shared" si="1"/>
        <v/>
      </c>
      <c r="R65" s="12" t="str">
        <f t="shared" ref="R65:R76" si="4">IF(J65="F",I66,"")</f>
        <v/>
      </c>
      <c r="S65" s="12"/>
      <c r="T65" s="12"/>
      <c r="U65" s="14"/>
      <c r="V65" s="14" t="s">
        <v>54</v>
      </c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45722.0</v>
      </c>
      <c r="B66" s="11" t="s">
        <v>22</v>
      </c>
      <c r="C66" s="11" t="s">
        <v>23</v>
      </c>
      <c r="D66" s="11" t="s">
        <v>24</v>
      </c>
      <c r="E66" s="12" t="s">
        <v>25</v>
      </c>
      <c r="F66" s="12">
        <v>0.20625</v>
      </c>
      <c r="G66" s="12">
        <v>0.23611111111111113</v>
      </c>
      <c r="H66" s="13">
        <v>2.0</v>
      </c>
      <c r="I66" s="12">
        <v>0.497222222222085</v>
      </c>
      <c r="J66" s="12" t="s">
        <v>28</v>
      </c>
      <c r="K66" s="14"/>
      <c r="L66" s="14"/>
      <c r="M66" s="14"/>
      <c r="N66" s="14"/>
      <c r="O66" s="14"/>
      <c r="P66" s="14"/>
      <c r="Q66" s="12" t="str">
        <f t="shared" si="1"/>
        <v/>
      </c>
      <c r="R66" s="12" t="str">
        <f t="shared" si="4"/>
        <v/>
      </c>
      <c r="S66" s="12"/>
      <c r="T66" s="12"/>
      <c r="U66" s="14"/>
      <c r="V66" s="14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45722.0</v>
      </c>
      <c r="B67" s="11" t="s">
        <v>22</v>
      </c>
      <c r="C67" s="11" t="s">
        <v>23</v>
      </c>
      <c r="D67" s="11" t="s">
        <v>24</v>
      </c>
      <c r="E67" s="12" t="s">
        <v>25</v>
      </c>
      <c r="F67" s="12">
        <v>0.20625</v>
      </c>
      <c r="G67" s="12">
        <v>0.23611111111111113</v>
      </c>
      <c r="H67" s="13">
        <v>2.0</v>
      </c>
      <c r="I67" s="12">
        <v>0.506249999999857</v>
      </c>
      <c r="J67" s="12" t="s">
        <v>26</v>
      </c>
      <c r="K67" s="14"/>
      <c r="L67" s="14"/>
      <c r="M67" s="14"/>
      <c r="N67" s="14"/>
      <c r="O67" s="14"/>
      <c r="P67" s="14" t="s">
        <v>30</v>
      </c>
      <c r="Q67" s="12" t="str">
        <f t="shared" si="1"/>
        <v/>
      </c>
      <c r="R67" s="12" t="str">
        <f t="shared" si="4"/>
        <v/>
      </c>
      <c r="S67" s="12"/>
      <c r="T67" s="12"/>
      <c r="U67" s="14"/>
      <c r="V67" s="14" t="s">
        <v>69</v>
      </c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45722.0</v>
      </c>
      <c r="B68" s="11" t="s">
        <v>22</v>
      </c>
      <c r="C68" s="11" t="s">
        <v>23</v>
      </c>
      <c r="D68" s="11" t="s">
        <v>24</v>
      </c>
      <c r="E68" s="12" t="s">
        <v>25</v>
      </c>
      <c r="F68" s="12">
        <v>0.20625</v>
      </c>
      <c r="G68" s="12">
        <v>0.23611111111111113</v>
      </c>
      <c r="H68" s="13">
        <v>2.0</v>
      </c>
      <c r="I68" s="12">
        <v>0.507638888888745</v>
      </c>
      <c r="J68" s="12" t="s">
        <v>28</v>
      </c>
      <c r="K68" s="14"/>
      <c r="L68" s="14"/>
      <c r="M68" s="14"/>
      <c r="N68" s="14"/>
      <c r="O68" s="14"/>
      <c r="P68" s="14"/>
      <c r="Q68" s="12" t="str">
        <f t="shared" si="1"/>
        <v/>
      </c>
      <c r="R68" s="12" t="str">
        <f t="shared" si="4"/>
        <v/>
      </c>
      <c r="S68" s="12"/>
      <c r="T68" s="12"/>
      <c r="U68" s="14"/>
      <c r="V68" s="14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45722.0</v>
      </c>
      <c r="B69" s="11" t="s">
        <v>22</v>
      </c>
      <c r="C69" s="11" t="s">
        <v>23</v>
      </c>
      <c r="D69" s="11" t="s">
        <v>24</v>
      </c>
      <c r="E69" s="12" t="s">
        <v>25</v>
      </c>
      <c r="F69" s="12">
        <v>0.20625</v>
      </c>
      <c r="G69" s="12">
        <v>0.23611111111111113</v>
      </c>
      <c r="H69" s="13">
        <v>2.0</v>
      </c>
      <c r="I69" s="12">
        <v>0.511805555555409</v>
      </c>
      <c r="J69" s="12" t="s">
        <v>26</v>
      </c>
      <c r="K69" s="14"/>
      <c r="L69" s="14"/>
      <c r="M69" s="14"/>
      <c r="N69" s="14"/>
      <c r="O69" s="14"/>
      <c r="P69" s="14" t="s">
        <v>30</v>
      </c>
      <c r="Q69" s="12" t="str">
        <f t="shared" si="1"/>
        <v/>
      </c>
      <c r="R69" s="12" t="str">
        <f t="shared" si="4"/>
        <v/>
      </c>
      <c r="S69" s="12"/>
      <c r="T69" s="12"/>
      <c r="U69" s="14"/>
      <c r="V69" s="14" t="s">
        <v>41</v>
      </c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45722.0</v>
      </c>
      <c r="B70" s="11" t="s">
        <v>22</v>
      </c>
      <c r="C70" s="11" t="s">
        <v>23</v>
      </c>
      <c r="D70" s="11" t="s">
        <v>24</v>
      </c>
      <c r="E70" s="12" t="s">
        <v>25</v>
      </c>
      <c r="F70" s="12">
        <v>0.20625</v>
      </c>
      <c r="G70" s="12">
        <v>0.23611111111111113</v>
      </c>
      <c r="H70" s="13">
        <v>2.0</v>
      </c>
      <c r="I70" s="12">
        <v>0.513194444444297</v>
      </c>
      <c r="J70" s="12" t="s">
        <v>28</v>
      </c>
      <c r="K70" s="14"/>
      <c r="L70" s="14"/>
      <c r="M70" s="14"/>
      <c r="N70" s="14"/>
      <c r="O70" s="14"/>
      <c r="P70" s="14"/>
      <c r="Q70" s="12" t="str">
        <f t="shared" si="1"/>
        <v/>
      </c>
      <c r="R70" s="12" t="str">
        <f t="shared" si="4"/>
        <v/>
      </c>
      <c r="S70" s="12"/>
      <c r="T70" s="12"/>
      <c r="U70" s="14"/>
      <c r="V70" s="14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0">
        <v>45722.0</v>
      </c>
      <c r="B71" s="11" t="s">
        <v>22</v>
      </c>
      <c r="C71" s="11" t="s">
        <v>23</v>
      </c>
      <c r="D71" s="11" t="s">
        <v>24</v>
      </c>
      <c r="E71" s="12" t="s">
        <v>25</v>
      </c>
      <c r="F71" s="12">
        <v>0.20625</v>
      </c>
      <c r="G71" s="12">
        <v>0.23611111111111113</v>
      </c>
      <c r="H71" s="13">
        <v>2.0</v>
      </c>
      <c r="I71" s="12">
        <v>0.525694444444289</v>
      </c>
      <c r="J71" s="12" t="s">
        <v>26</v>
      </c>
      <c r="K71" s="14"/>
      <c r="L71" s="14"/>
      <c r="M71" s="14"/>
      <c r="N71" s="14"/>
      <c r="O71" s="14"/>
      <c r="P71" s="14" t="s">
        <v>30</v>
      </c>
      <c r="Q71" s="12" t="str">
        <f t="shared" si="1"/>
        <v/>
      </c>
      <c r="R71" s="12" t="str">
        <f t="shared" si="4"/>
        <v/>
      </c>
      <c r="S71" s="12"/>
      <c r="T71" s="12"/>
      <c r="U71" s="14"/>
      <c r="V71" s="14" t="s">
        <v>32</v>
      </c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0">
        <v>45722.0</v>
      </c>
      <c r="B72" s="11" t="s">
        <v>22</v>
      </c>
      <c r="C72" s="11" t="s">
        <v>23</v>
      </c>
      <c r="D72" s="11" t="s">
        <v>24</v>
      </c>
      <c r="E72" s="12" t="s">
        <v>25</v>
      </c>
      <c r="F72" s="12">
        <v>0.20625</v>
      </c>
      <c r="G72" s="12">
        <v>0.23611111111111113</v>
      </c>
      <c r="H72" s="13">
        <v>2.0</v>
      </c>
      <c r="I72" s="12">
        <v>0.531944444444285</v>
      </c>
      <c r="J72" s="12" t="s">
        <v>28</v>
      </c>
      <c r="K72" s="14"/>
      <c r="L72" s="14"/>
      <c r="M72" s="14"/>
      <c r="N72" s="14"/>
      <c r="O72" s="14"/>
      <c r="P72" s="14"/>
      <c r="Q72" s="12" t="str">
        <f t="shared" si="1"/>
        <v/>
      </c>
      <c r="R72" s="12" t="str">
        <f t="shared" si="4"/>
        <v/>
      </c>
      <c r="S72" s="12"/>
      <c r="T72" s="12"/>
      <c r="U72" s="14"/>
      <c r="V72" s="14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0">
        <v>45722.0</v>
      </c>
      <c r="B73" s="11" t="s">
        <v>22</v>
      </c>
      <c r="C73" s="11" t="s">
        <v>23</v>
      </c>
      <c r="D73" s="11" t="s">
        <v>24</v>
      </c>
      <c r="E73" s="12" t="s">
        <v>25</v>
      </c>
      <c r="F73" s="12">
        <v>0.20625</v>
      </c>
      <c r="G73" s="12">
        <v>0.23611111111111113</v>
      </c>
      <c r="H73" s="13">
        <v>1.0</v>
      </c>
      <c r="I73" s="12">
        <v>0.534027777777617</v>
      </c>
      <c r="J73" s="12" t="s">
        <v>26</v>
      </c>
      <c r="K73" s="14"/>
      <c r="L73" s="14"/>
      <c r="M73" s="14"/>
      <c r="N73" s="14"/>
      <c r="O73" s="14"/>
      <c r="P73" s="14" t="s">
        <v>30</v>
      </c>
      <c r="Q73" s="12" t="str">
        <f t="shared" si="1"/>
        <v/>
      </c>
      <c r="R73" s="12" t="str">
        <f t="shared" si="4"/>
        <v/>
      </c>
      <c r="S73" s="12"/>
      <c r="T73" s="12"/>
      <c r="U73" s="14"/>
      <c r="V73" s="14" t="s">
        <v>70</v>
      </c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0">
        <v>45722.0</v>
      </c>
      <c r="B74" s="11" t="s">
        <v>22</v>
      </c>
      <c r="C74" s="11" t="s">
        <v>23</v>
      </c>
      <c r="D74" s="11" t="s">
        <v>24</v>
      </c>
      <c r="E74" s="12" t="s">
        <v>25</v>
      </c>
      <c r="F74" s="12">
        <v>0.20625</v>
      </c>
      <c r="G74" s="12">
        <v>0.23611111111111113</v>
      </c>
      <c r="H74" s="13">
        <v>2.0</v>
      </c>
      <c r="I74" s="12">
        <v>0.538194444444281</v>
      </c>
      <c r="J74" s="12" t="s">
        <v>28</v>
      </c>
      <c r="K74" s="14"/>
      <c r="L74" s="14"/>
      <c r="M74" s="14"/>
      <c r="N74" s="14"/>
      <c r="O74" s="14"/>
      <c r="P74" s="14"/>
      <c r="Q74" s="12" t="str">
        <f t="shared" si="1"/>
        <v/>
      </c>
      <c r="R74" s="12" t="str">
        <f t="shared" si="4"/>
        <v/>
      </c>
      <c r="S74" s="12"/>
      <c r="T74" s="12"/>
      <c r="U74" s="14"/>
      <c r="V74" s="14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0">
        <v>45722.0</v>
      </c>
      <c r="B75" s="11" t="s">
        <v>22</v>
      </c>
      <c r="C75" s="11" t="s">
        <v>23</v>
      </c>
      <c r="D75" s="11" t="s">
        <v>24</v>
      </c>
      <c r="E75" s="12" t="s">
        <v>25</v>
      </c>
      <c r="F75" s="12">
        <v>0.20625</v>
      </c>
      <c r="G75" s="12">
        <v>0.23611111111111113</v>
      </c>
      <c r="H75" s="13">
        <v>1.0</v>
      </c>
      <c r="I75" s="12">
        <v>0.541666666666501</v>
      </c>
      <c r="J75" s="12" t="s">
        <v>26</v>
      </c>
      <c r="K75" s="14"/>
      <c r="L75" s="14"/>
      <c r="M75" s="14"/>
      <c r="N75" s="14"/>
      <c r="O75" s="14"/>
      <c r="P75" s="14" t="s">
        <v>30</v>
      </c>
      <c r="Q75" s="12" t="str">
        <f t="shared" si="1"/>
        <v/>
      </c>
      <c r="R75" s="12" t="str">
        <f t="shared" si="4"/>
        <v/>
      </c>
      <c r="S75" s="12"/>
      <c r="T75" s="12"/>
      <c r="U75" s="14"/>
      <c r="V75" s="14" t="s">
        <v>71</v>
      </c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0">
        <v>45722.0</v>
      </c>
      <c r="B76" s="11" t="s">
        <v>22</v>
      </c>
      <c r="C76" s="11" t="s">
        <v>23</v>
      </c>
      <c r="D76" s="11" t="s">
        <v>24</v>
      </c>
      <c r="E76" s="12" t="s">
        <v>25</v>
      </c>
      <c r="F76" s="12">
        <v>0.20625</v>
      </c>
      <c r="G76" s="12">
        <v>0.23611111111111113</v>
      </c>
      <c r="H76" s="13">
        <v>1.0</v>
      </c>
      <c r="I76" s="12">
        <v>0.583333333333141</v>
      </c>
      <c r="J76" s="12" t="s">
        <v>26</v>
      </c>
      <c r="K76" s="14"/>
      <c r="L76" s="14"/>
      <c r="M76" s="14"/>
      <c r="N76" s="14"/>
      <c r="O76" s="14"/>
      <c r="P76" s="14" t="s">
        <v>30</v>
      </c>
      <c r="Q76" s="12" t="str">
        <f t="shared" si="1"/>
        <v/>
      </c>
      <c r="R76" s="12" t="str">
        <f t="shared" si="4"/>
        <v/>
      </c>
      <c r="S76" s="12"/>
      <c r="T76" s="12"/>
      <c r="U76" s="14"/>
      <c r="V76" s="14" t="s">
        <v>72</v>
      </c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6"/>
      <c r="B77" s="16"/>
      <c r="C77" s="16"/>
      <c r="D77" s="16"/>
      <c r="E77" s="16"/>
      <c r="F77" s="17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N2:N76">
      <formula1>'drop down menu'!$H$2:$H$5</formula1>
    </dataValidation>
    <dataValidation type="list" allowBlank="1" showErrorMessage="1" sqref="E2:E76">
      <formula1>'drop down menu'!$AH$2:$AH$10</formula1>
    </dataValidation>
    <dataValidation type="list" allowBlank="1" showErrorMessage="1" sqref="H2:H76">
      <formula1>'drop down menu'!$A$2:$A$4</formula1>
    </dataValidation>
    <dataValidation type="list" allowBlank="1" showErrorMessage="1" sqref="E1">
      <formula1>'drop down menu'!$AI$1:$AI$3</formula1>
    </dataValidation>
    <dataValidation type="list" allowBlank="1" showErrorMessage="1" sqref="M2:M76">
      <formula1>'drop down menu'!$D$2:$D$9</formula1>
    </dataValidation>
    <dataValidation type="list" allowBlank="1" showErrorMessage="1" sqref="J2:J76">
      <formula1>'drop down menu'!$B$2:$B$7</formula1>
    </dataValidation>
    <dataValidation type="list" allowBlank="1" showErrorMessage="1" sqref="L2:L76">
      <formula1>'drop down menu'!$C$2:$C$13</formula1>
    </dataValidation>
    <dataValidation type="list" allowBlank="1" showErrorMessage="1" sqref="P2:P76">
      <formula1>'drop down menu'!$F$2:$F$4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73</v>
      </c>
    </row>
    <row r="2">
      <c r="A2" s="21" t="s">
        <v>74</v>
      </c>
    </row>
    <row r="3">
      <c r="A3" s="21" t="s">
        <v>75</v>
      </c>
    </row>
    <row r="4">
      <c r="A4" s="21" t="s">
        <v>76</v>
      </c>
    </row>
    <row r="5">
      <c r="A5" s="21" t="s">
        <v>77</v>
      </c>
    </row>
    <row r="6">
      <c r="A6" s="21" t="s">
        <v>78</v>
      </c>
    </row>
    <row r="7">
      <c r="A7" s="21" t="s">
        <v>79</v>
      </c>
      <c r="B7" s="22"/>
    </row>
    <row r="8">
      <c r="A8" s="21" t="s">
        <v>80</v>
      </c>
      <c r="B8" s="22"/>
    </row>
    <row r="9">
      <c r="A9" s="21" t="s">
        <v>81</v>
      </c>
      <c r="B9" s="22"/>
    </row>
    <row r="10">
      <c r="A10" s="21" t="s">
        <v>82</v>
      </c>
    </row>
    <row r="11">
      <c r="A11" s="21" t="s">
        <v>83</v>
      </c>
      <c r="B11" s="22"/>
    </row>
    <row r="12">
      <c r="A12" s="21" t="s">
        <v>84</v>
      </c>
      <c r="B12" s="22"/>
    </row>
    <row r="13">
      <c r="A13" s="21" t="s">
        <v>85</v>
      </c>
    </row>
    <row r="14">
      <c r="A14" s="21" t="s">
        <v>86</v>
      </c>
    </row>
    <row r="15">
      <c r="A15" s="21" t="s">
        <v>87</v>
      </c>
      <c r="B15" s="22"/>
    </row>
    <row r="16">
      <c r="A16" s="21" t="s">
        <v>88</v>
      </c>
      <c r="B16" s="22"/>
    </row>
    <row r="17">
      <c r="A17" s="21" t="s">
        <v>89</v>
      </c>
    </row>
    <row r="18">
      <c r="A18" s="21" t="s">
        <v>90</v>
      </c>
    </row>
    <row r="19">
      <c r="A19" s="21" t="s">
        <v>91</v>
      </c>
    </row>
    <row r="20">
      <c r="A20" s="21" t="s">
        <v>92</v>
      </c>
    </row>
    <row r="21">
      <c r="A21" s="21" t="s">
        <v>93</v>
      </c>
    </row>
    <row r="22">
      <c r="A22" s="21" t="s">
        <v>94</v>
      </c>
    </row>
    <row r="23">
      <c r="A23" s="21" t="s">
        <v>95</v>
      </c>
    </row>
    <row r="24">
      <c r="A24" s="21" t="s">
        <v>96</v>
      </c>
    </row>
    <row r="25">
      <c r="A25" s="21" t="s">
        <v>97</v>
      </c>
    </row>
    <row r="26">
      <c r="A26" s="21" t="s">
        <v>98</v>
      </c>
    </row>
    <row r="27">
      <c r="A27" s="21" t="s">
        <v>99</v>
      </c>
    </row>
    <row r="28">
      <c r="A28" s="21" t="s">
        <v>100</v>
      </c>
    </row>
    <row r="29">
      <c r="A29" s="21" t="s">
        <v>101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102</v>
      </c>
    </row>
    <row r="2">
      <c r="A2" s="23" t="s">
        <v>103</v>
      </c>
    </row>
    <row r="3">
      <c r="A3" s="23" t="s">
        <v>104</v>
      </c>
    </row>
    <row r="4">
      <c r="A4" s="23" t="s">
        <v>105</v>
      </c>
    </row>
    <row r="5">
      <c r="A5" s="23" t="s">
        <v>106</v>
      </c>
      <c r="B5" s="22"/>
    </row>
    <row r="6">
      <c r="A6" s="23" t="s">
        <v>107</v>
      </c>
    </row>
    <row r="7">
      <c r="A7" s="23" t="s">
        <v>108</v>
      </c>
    </row>
    <row r="8">
      <c r="A8" s="23" t="s">
        <v>109</v>
      </c>
      <c r="B8" s="22"/>
    </row>
    <row r="9">
      <c r="A9" s="23" t="s">
        <v>110</v>
      </c>
      <c r="B9" s="22"/>
    </row>
    <row r="10">
      <c r="A10" s="23" t="s">
        <v>111</v>
      </c>
      <c r="B10" s="22"/>
    </row>
    <row r="11">
      <c r="A11" s="23" t="s">
        <v>112</v>
      </c>
      <c r="B11" s="22"/>
    </row>
    <row r="12">
      <c r="A12" s="23" t="s">
        <v>113</v>
      </c>
      <c r="B12" s="22"/>
    </row>
    <row r="13">
      <c r="A13" s="23" t="s">
        <v>114</v>
      </c>
      <c r="B13" s="22"/>
    </row>
    <row r="14">
      <c r="A14" s="23" t="s">
        <v>115</v>
      </c>
      <c r="B14" s="22"/>
    </row>
    <row r="15">
      <c r="A15" s="23" t="s">
        <v>116</v>
      </c>
      <c r="B15" s="22"/>
    </row>
    <row r="16">
      <c r="A16" s="23" t="s">
        <v>117</v>
      </c>
    </row>
    <row r="17">
      <c r="A17" s="23" t="s">
        <v>118</v>
      </c>
    </row>
    <row r="18">
      <c r="A18" s="23" t="s">
        <v>119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menu'!$AD$2:$AD$10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120</v>
      </c>
      <c r="B1" s="25" t="s">
        <v>121</v>
      </c>
      <c r="C1" s="24" t="s">
        <v>122</v>
      </c>
      <c r="D1" s="24" t="s">
        <v>123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124</v>
      </c>
      <c r="B2" s="29"/>
      <c r="C2" s="28" t="s">
        <v>125</v>
      </c>
      <c r="D2" s="28" t="s">
        <v>125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126</v>
      </c>
      <c r="B3" s="29"/>
      <c r="C3" s="28" t="s">
        <v>125</v>
      </c>
      <c r="D3" s="28" t="s">
        <v>125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127</v>
      </c>
      <c r="B4" s="29"/>
      <c r="C4" s="28" t="s">
        <v>128</v>
      </c>
      <c r="D4" s="28" t="s">
        <v>129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130</v>
      </c>
      <c r="B5" s="29"/>
      <c r="C5" s="28" t="s">
        <v>128</v>
      </c>
      <c r="D5" s="28" t="s">
        <v>129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131</v>
      </c>
      <c r="B6" s="29" t="s">
        <v>132</v>
      </c>
      <c r="C6" s="28" t="s">
        <v>133</v>
      </c>
      <c r="D6" s="28" t="s">
        <v>134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135</v>
      </c>
      <c r="B7" s="29"/>
      <c r="C7" s="28" t="s">
        <v>136</v>
      </c>
      <c r="D7" s="28" t="s">
        <v>137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138</v>
      </c>
      <c r="B8" s="29" t="s">
        <v>139</v>
      </c>
      <c r="C8" s="28" t="s">
        <v>140</v>
      </c>
      <c r="D8" s="28" t="s">
        <v>141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142</v>
      </c>
      <c r="B9" s="29" t="s">
        <v>143</v>
      </c>
      <c r="C9" s="28" t="s">
        <v>144</v>
      </c>
      <c r="D9" s="28" t="s">
        <v>145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146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147</v>
      </c>
      <c r="B11" s="29" t="s">
        <v>148</v>
      </c>
      <c r="C11" s="28" t="s">
        <v>149</v>
      </c>
      <c r="D11" s="28" t="s">
        <v>150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151</v>
      </c>
      <c r="B12" s="29" t="s">
        <v>152</v>
      </c>
      <c r="C12" s="28" t="s">
        <v>125</v>
      </c>
      <c r="D12" s="28" t="s">
        <v>125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153</v>
      </c>
      <c r="B13" s="29"/>
      <c r="C13" s="28" t="s">
        <v>154</v>
      </c>
      <c r="D13" s="28" t="s">
        <v>155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156</v>
      </c>
      <c r="B14" s="29" t="s">
        <v>157</v>
      </c>
      <c r="C14" s="28" t="s">
        <v>158</v>
      </c>
      <c r="D14" s="28" t="s">
        <v>159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160</v>
      </c>
      <c r="B15" s="29"/>
      <c r="C15" s="28" t="s">
        <v>161</v>
      </c>
      <c r="D15" s="28" t="s">
        <v>162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163</v>
      </c>
      <c r="B16" s="29" t="s">
        <v>164</v>
      </c>
      <c r="C16" s="28" t="s">
        <v>165</v>
      </c>
      <c r="D16" s="28" t="s">
        <v>134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166</v>
      </c>
      <c r="B17" s="29"/>
      <c r="C17" s="28" t="s">
        <v>154</v>
      </c>
      <c r="D17" s="28" t="s">
        <v>167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168</v>
      </c>
      <c r="B18" s="29" t="s">
        <v>169</v>
      </c>
      <c r="C18" s="28" t="s">
        <v>125</v>
      </c>
      <c r="D18" s="28" t="s">
        <v>125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170</v>
      </c>
      <c r="B19" s="29" t="s">
        <v>171</v>
      </c>
      <c r="C19" s="28" t="s">
        <v>172</v>
      </c>
      <c r="D19" s="28" t="s">
        <v>173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174</v>
      </c>
      <c r="B20" s="29"/>
      <c r="C20" s="28" t="s">
        <v>125</v>
      </c>
      <c r="D20" s="28" t="s">
        <v>125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175</v>
      </c>
      <c r="B21" s="29"/>
      <c r="C21" s="28" t="s">
        <v>125</v>
      </c>
      <c r="D21" s="28" t="s">
        <v>125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176</v>
      </c>
      <c r="B22" s="29" t="s">
        <v>177</v>
      </c>
      <c r="C22" s="28" t="s">
        <v>178</v>
      </c>
      <c r="D22" s="28" t="s">
        <v>137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179</v>
      </c>
      <c r="B23" s="29"/>
      <c r="C23" s="28" t="s">
        <v>125</v>
      </c>
      <c r="D23" s="28" t="s">
        <v>125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180</v>
      </c>
      <c r="B24" s="29"/>
      <c r="C24" s="28" t="s">
        <v>125</v>
      </c>
      <c r="D24" s="28" t="s">
        <v>125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181</v>
      </c>
      <c r="B25" s="29" t="s">
        <v>182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183</v>
      </c>
      <c r="B26" s="29"/>
      <c r="C26" s="28" t="s">
        <v>125</v>
      </c>
      <c r="D26" s="28" t="s">
        <v>125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184</v>
      </c>
      <c r="B27" s="29"/>
      <c r="C27" s="28" t="s">
        <v>185</v>
      </c>
      <c r="D27" s="28" t="s">
        <v>159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186</v>
      </c>
      <c r="B28" s="29" t="s">
        <v>187</v>
      </c>
      <c r="C28" s="28" t="s">
        <v>188</v>
      </c>
      <c r="D28" s="28" t="s">
        <v>189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190</v>
      </c>
      <c r="B29" s="29"/>
      <c r="C29" s="28" t="s">
        <v>125</v>
      </c>
      <c r="D29" s="28" t="s">
        <v>125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45</v>
      </c>
      <c r="B30" s="29"/>
      <c r="C30" s="28" t="s">
        <v>125</v>
      </c>
      <c r="D30" s="28" t="s">
        <v>125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191</v>
      </c>
      <c r="B31" s="29"/>
      <c r="C31" s="28" t="s">
        <v>125</v>
      </c>
      <c r="D31" s="28" t="s">
        <v>125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192</v>
      </c>
      <c r="B32" s="29"/>
      <c r="C32" s="28" t="s">
        <v>193</v>
      </c>
      <c r="D32" s="28" t="s">
        <v>194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195</v>
      </c>
      <c r="B33" s="29" t="s">
        <v>196</v>
      </c>
      <c r="C33" s="28" t="s">
        <v>125</v>
      </c>
      <c r="D33" s="28" t="s">
        <v>129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197</v>
      </c>
      <c r="B34" s="29"/>
      <c r="C34" s="28" t="s">
        <v>198</v>
      </c>
      <c r="D34" s="28" t="s">
        <v>129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199</v>
      </c>
      <c r="B35" s="29"/>
      <c r="C35" s="28" t="s">
        <v>125</v>
      </c>
      <c r="D35" s="28" t="s">
        <v>129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200</v>
      </c>
      <c r="B36" s="29" t="s">
        <v>201</v>
      </c>
      <c r="C36" s="28" t="s">
        <v>202</v>
      </c>
      <c r="D36" s="28" t="s">
        <v>203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204</v>
      </c>
      <c r="B37" s="29"/>
      <c r="C37" s="28" t="s">
        <v>125</v>
      </c>
      <c r="D37" s="28" t="s">
        <v>125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205</v>
      </c>
      <c r="B38" s="29"/>
      <c r="C38" s="28" t="s">
        <v>206</v>
      </c>
      <c r="D38" s="28" t="s">
        <v>207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208</v>
      </c>
      <c r="B39" s="31" t="s">
        <v>209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210</v>
      </c>
      <c r="B40" s="33" t="s">
        <v>211</v>
      </c>
      <c r="C40" s="34" t="s">
        <v>212</v>
      </c>
      <c r="D40" s="32" t="s">
        <v>213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214</v>
      </c>
      <c r="B41" s="33" t="s">
        <v>215</v>
      </c>
      <c r="C41" s="34" t="s">
        <v>216</v>
      </c>
      <c r="D41" s="32" t="s">
        <v>213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217</v>
      </c>
      <c r="B42" s="29"/>
      <c r="C42" s="28" t="s">
        <v>125</v>
      </c>
      <c r="D42" s="28" t="s">
        <v>125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218</v>
      </c>
      <c r="B43" s="33" t="s">
        <v>219</v>
      </c>
      <c r="C43" s="34" t="s">
        <v>220</v>
      </c>
      <c r="D43" s="32" t="s">
        <v>221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222</v>
      </c>
      <c r="B44" s="29"/>
      <c r="C44" s="28" t="s">
        <v>223</v>
      </c>
      <c r="D44" s="28" t="s">
        <v>207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224</v>
      </c>
      <c r="B45" s="29" t="s">
        <v>225</v>
      </c>
      <c r="C45" s="28" t="s">
        <v>226</v>
      </c>
      <c r="D45" s="28" t="s">
        <v>227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228</v>
      </c>
      <c r="B46" s="29" t="s">
        <v>229</v>
      </c>
      <c r="C46" s="28" t="s">
        <v>230</v>
      </c>
      <c r="D46" s="28" t="s">
        <v>231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232</v>
      </c>
      <c r="B47" s="29" t="s">
        <v>233</v>
      </c>
      <c r="C47" s="28" t="s">
        <v>234</v>
      </c>
      <c r="D47" s="28" t="s">
        <v>235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236</v>
      </c>
      <c r="B48" s="29"/>
      <c r="C48" s="28" t="s">
        <v>125</v>
      </c>
      <c r="D48" s="28" t="s">
        <v>125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237</v>
      </c>
      <c r="B49" s="29"/>
      <c r="C49" s="28" t="s">
        <v>238</v>
      </c>
      <c r="D49" s="28" t="s">
        <v>239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240</v>
      </c>
      <c r="B50" s="29"/>
      <c r="C50" s="28" t="s">
        <v>241</v>
      </c>
      <c r="D50" s="28" t="s">
        <v>239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242</v>
      </c>
      <c r="B51" s="33"/>
      <c r="C51" s="34" t="s">
        <v>243</v>
      </c>
      <c r="D51" s="32" t="s">
        <v>207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244</v>
      </c>
      <c r="B52" s="29"/>
      <c r="C52" s="28" t="s">
        <v>245</v>
      </c>
      <c r="D52" s="28" t="s">
        <v>246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247</v>
      </c>
      <c r="B53" s="33"/>
      <c r="C53" s="34" t="s">
        <v>248</v>
      </c>
      <c r="D53" s="32" t="s">
        <v>249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250</v>
      </c>
      <c r="B54" s="33" t="s">
        <v>251</v>
      </c>
      <c r="C54" s="34" t="s">
        <v>252</v>
      </c>
      <c r="D54" s="32" t="s">
        <v>213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56</v>
      </c>
      <c r="B55" s="33" t="s">
        <v>253</v>
      </c>
      <c r="C55" s="34" t="s">
        <v>254</v>
      </c>
      <c r="D55" s="32" t="s">
        <v>255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256</v>
      </c>
      <c r="B56" s="29"/>
      <c r="C56" s="28" t="s">
        <v>125</v>
      </c>
      <c r="D56" s="28" t="s">
        <v>125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257</v>
      </c>
      <c r="B57" s="33" t="s">
        <v>258</v>
      </c>
      <c r="C57" s="34" t="s">
        <v>259</v>
      </c>
      <c r="D57" s="32" t="s">
        <v>260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261</v>
      </c>
      <c r="B58" s="33"/>
      <c r="C58" s="34" t="s">
        <v>262</v>
      </c>
      <c r="D58" s="32" t="s">
        <v>221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263</v>
      </c>
      <c r="B59" s="29" t="s">
        <v>264</v>
      </c>
      <c r="C59" s="28" t="s">
        <v>265</v>
      </c>
      <c r="D59" s="28" t="s">
        <v>203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266</v>
      </c>
      <c r="B60" s="29"/>
      <c r="C60" s="28" t="s">
        <v>125</v>
      </c>
      <c r="D60" s="28" t="s">
        <v>125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267</v>
      </c>
      <c r="B61" s="29" t="s">
        <v>268</v>
      </c>
      <c r="C61" s="28" t="s">
        <v>269</v>
      </c>
      <c r="D61" s="28" t="s">
        <v>141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270</v>
      </c>
      <c r="B62" s="29" t="s">
        <v>271</v>
      </c>
      <c r="C62" s="28" t="s">
        <v>272</v>
      </c>
      <c r="D62" s="28" t="s">
        <v>141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273</v>
      </c>
      <c r="B63" s="29"/>
      <c r="C63" s="28" t="s">
        <v>125</v>
      </c>
      <c r="D63" s="28" t="s">
        <v>125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274</v>
      </c>
      <c r="B64" s="33"/>
      <c r="C64" s="34" t="s">
        <v>275</v>
      </c>
      <c r="D64" s="32" t="s">
        <v>276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41</v>
      </c>
      <c r="B65" s="33" t="s">
        <v>277</v>
      </c>
      <c r="C65" s="34" t="s">
        <v>278</v>
      </c>
      <c r="D65" s="32" t="s">
        <v>279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280</v>
      </c>
      <c r="B66" s="33" t="s">
        <v>281</v>
      </c>
      <c r="C66" s="34" t="s">
        <v>282</v>
      </c>
      <c r="D66" s="32" t="s">
        <v>145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283</v>
      </c>
      <c r="B67" s="33" t="s">
        <v>284</v>
      </c>
      <c r="C67" s="34" t="s">
        <v>285</v>
      </c>
      <c r="D67" s="32" t="s">
        <v>286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287</v>
      </c>
      <c r="B68" s="33" t="s">
        <v>288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289</v>
      </c>
      <c r="B69" s="29"/>
      <c r="C69" s="28" t="s">
        <v>290</v>
      </c>
      <c r="D69" s="28" t="s">
        <v>213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291</v>
      </c>
      <c r="B70" s="29"/>
      <c r="C70" s="28" t="s">
        <v>290</v>
      </c>
      <c r="D70" s="28" t="s">
        <v>213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292</v>
      </c>
      <c r="B71" s="29"/>
      <c r="C71" s="28" t="s">
        <v>293</v>
      </c>
      <c r="D71" s="28" t="s">
        <v>294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295</v>
      </c>
      <c r="B72" s="29"/>
      <c r="C72" s="28" t="s">
        <v>296</v>
      </c>
      <c r="D72" s="28" t="s">
        <v>213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297</v>
      </c>
      <c r="B73" s="29" t="s">
        <v>298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299</v>
      </c>
      <c r="B74" s="29" t="s">
        <v>300</v>
      </c>
      <c r="C74" s="28" t="s">
        <v>125</v>
      </c>
      <c r="D74" s="28" t="s">
        <v>125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52</v>
      </c>
      <c r="B75" s="29" t="s">
        <v>301</v>
      </c>
      <c r="C75" s="28" t="s">
        <v>302</v>
      </c>
      <c r="D75" s="28" t="s">
        <v>203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303</v>
      </c>
      <c r="B76" s="33" t="s">
        <v>304</v>
      </c>
      <c r="C76" s="34" t="s">
        <v>305</v>
      </c>
      <c r="D76" s="32" t="s">
        <v>306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307</v>
      </c>
      <c r="B77" s="29" t="s">
        <v>308</v>
      </c>
      <c r="C77" s="28" t="s">
        <v>309</v>
      </c>
      <c r="D77" s="28" t="s">
        <v>306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310</v>
      </c>
      <c r="B78" s="29"/>
      <c r="C78" s="28" t="s">
        <v>311</v>
      </c>
      <c r="D78" s="28" t="s">
        <v>150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312</v>
      </c>
      <c r="B79" s="33" t="s">
        <v>313</v>
      </c>
      <c r="C79" s="34" t="s">
        <v>314</v>
      </c>
      <c r="D79" s="32" t="s">
        <v>137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315</v>
      </c>
      <c r="B80" s="29" t="s">
        <v>316</v>
      </c>
      <c r="C80" s="28" t="s">
        <v>125</v>
      </c>
      <c r="D80" s="28" t="s">
        <v>125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317</v>
      </c>
      <c r="B81" s="29" t="s">
        <v>318</v>
      </c>
      <c r="C81" s="28" t="s">
        <v>319</v>
      </c>
      <c r="D81" s="28" t="s">
        <v>320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321</v>
      </c>
      <c r="B82" s="33"/>
      <c r="C82" s="34" t="s">
        <v>322</v>
      </c>
      <c r="D82" s="32" t="s">
        <v>249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323</v>
      </c>
      <c r="B83" s="33"/>
      <c r="C83" s="34" t="s">
        <v>322</v>
      </c>
      <c r="D83" s="32" t="s">
        <v>249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323</v>
      </c>
      <c r="B84" s="29"/>
      <c r="C84" s="28" t="s">
        <v>324</v>
      </c>
      <c r="D84" s="28" t="s">
        <v>320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325</v>
      </c>
      <c r="B85" s="33"/>
      <c r="C85" s="34" t="s">
        <v>326</v>
      </c>
      <c r="D85" s="32" t="s">
        <v>327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325</v>
      </c>
      <c r="B86" s="29"/>
      <c r="C86" s="28" t="s">
        <v>328</v>
      </c>
      <c r="D86" s="28" t="s">
        <v>213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329</v>
      </c>
      <c r="B87" s="29"/>
      <c r="C87" s="28" t="s">
        <v>330</v>
      </c>
      <c r="D87" s="28" t="s">
        <v>203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331</v>
      </c>
      <c r="B88" s="33" t="s">
        <v>332</v>
      </c>
      <c r="C88" s="34" t="s">
        <v>333</v>
      </c>
      <c r="D88" s="32" t="s">
        <v>203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65</v>
      </c>
      <c r="B89" s="33" t="s">
        <v>334</v>
      </c>
      <c r="C89" s="34" t="s">
        <v>335</v>
      </c>
      <c r="D89" s="32" t="s">
        <v>203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336</v>
      </c>
      <c r="B90" s="29" t="s">
        <v>337</v>
      </c>
      <c r="C90" s="28" t="s">
        <v>338</v>
      </c>
      <c r="D90" s="28" t="s">
        <v>339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340</v>
      </c>
      <c r="B91" s="29"/>
      <c r="C91" s="28" t="s">
        <v>341</v>
      </c>
      <c r="D91" s="28" t="s">
        <v>342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343</v>
      </c>
      <c r="B92" s="29"/>
      <c r="C92" s="28" t="s">
        <v>344</v>
      </c>
      <c r="D92" s="28" t="s">
        <v>294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345</v>
      </c>
      <c r="B93" s="29"/>
      <c r="C93" s="28" t="s">
        <v>346</v>
      </c>
      <c r="D93" s="28" t="s">
        <v>125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347</v>
      </c>
      <c r="B94" s="29" t="s">
        <v>348</v>
      </c>
      <c r="C94" s="28" t="s">
        <v>349</v>
      </c>
      <c r="D94" s="28" t="s">
        <v>207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350</v>
      </c>
      <c r="B95" s="33"/>
      <c r="C95" s="34" t="s">
        <v>351</v>
      </c>
      <c r="D95" s="32" t="s">
        <v>255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352</v>
      </c>
      <c r="B96" s="33"/>
      <c r="C96" s="34" t="s">
        <v>353</v>
      </c>
      <c r="D96" s="32" t="s">
        <v>203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354</v>
      </c>
      <c r="B97" s="29"/>
      <c r="C97" s="28" t="s">
        <v>355</v>
      </c>
      <c r="D97" s="28" t="s">
        <v>356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40</v>
      </c>
      <c r="B98" s="29" t="s">
        <v>357</v>
      </c>
      <c r="C98" s="28" t="s">
        <v>358</v>
      </c>
      <c r="D98" s="28" t="s">
        <v>359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360</v>
      </c>
      <c r="B99" s="29" t="s">
        <v>361</v>
      </c>
      <c r="C99" s="28" t="s">
        <v>362</v>
      </c>
      <c r="D99" s="28" t="s">
        <v>359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363</v>
      </c>
      <c r="B100" s="33" t="s">
        <v>364</v>
      </c>
      <c r="C100" s="34" t="s">
        <v>365</v>
      </c>
      <c r="D100" s="32" t="s">
        <v>366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43</v>
      </c>
      <c r="B101" s="29" t="s">
        <v>367</v>
      </c>
      <c r="C101" s="28" t="s">
        <v>368</v>
      </c>
      <c r="D101" s="28" t="s">
        <v>279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369</v>
      </c>
      <c r="B102" s="29"/>
      <c r="C102" s="28" t="s">
        <v>125</v>
      </c>
      <c r="D102" s="28" t="s">
        <v>125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370</v>
      </c>
      <c r="B103" s="29" t="s">
        <v>371</v>
      </c>
      <c r="C103" s="28" t="s">
        <v>372</v>
      </c>
      <c r="D103" s="28" t="s">
        <v>373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374</v>
      </c>
      <c r="B104" s="29"/>
      <c r="C104" s="28" t="s">
        <v>375</v>
      </c>
      <c r="D104" s="28" t="s">
        <v>286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376</v>
      </c>
      <c r="B105" s="33" t="s">
        <v>377</v>
      </c>
      <c r="C105" s="34" t="s">
        <v>378</v>
      </c>
      <c r="D105" s="32" t="s">
        <v>145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379</v>
      </c>
      <c r="B106" s="29"/>
      <c r="C106" s="28" t="s">
        <v>125</v>
      </c>
      <c r="D106" s="28" t="s">
        <v>125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380</v>
      </c>
      <c r="B107" s="29"/>
      <c r="C107" s="28" t="s">
        <v>125</v>
      </c>
      <c r="D107" s="28" t="s">
        <v>125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381</v>
      </c>
      <c r="B108" s="35"/>
      <c r="C108" s="28" t="s">
        <v>382</v>
      </c>
      <c r="D108" s="28" t="s">
        <v>203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383</v>
      </c>
      <c r="B109" s="29"/>
      <c r="C109" s="28" t="s">
        <v>125</v>
      </c>
      <c r="D109" s="28" t="s">
        <v>125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384</v>
      </c>
      <c r="B110" s="29"/>
      <c r="C110" s="28" t="s">
        <v>125</v>
      </c>
      <c r="D110" s="28" t="s">
        <v>125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385</v>
      </c>
      <c r="B111" s="29" t="s">
        <v>386</v>
      </c>
      <c r="C111" s="28" t="s">
        <v>387</v>
      </c>
      <c r="D111" s="28" t="s">
        <v>246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388</v>
      </c>
      <c r="B112" s="29"/>
      <c r="C112" s="28" t="s">
        <v>389</v>
      </c>
      <c r="D112" s="28" t="s">
        <v>390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391</v>
      </c>
      <c r="B113" s="29" t="s">
        <v>392</v>
      </c>
      <c r="C113" s="28" t="s">
        <v>393</v>
      </c>
      <c r="D113" s="28" t="s">
        <v>239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394</v>
      </c>
      <c r="B114" s="29"/>
      <c r="C114" s="28" t="s">
        <v>125</v>
      </c>
      <c r="D114" s="28" t="s">
        <v>125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395</v>
      </c>
      <c r="B115" s="29" t="s">
        <v>396</v>
      </c>
      <c r="C115" s="28" t="s">
        <v>397</v>
      </c>
      <c r="D115" s="28" t="s">
        <v>398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399</v>
      </c>
      <c r="B116" s="33" t="s">
        <v>400</v>
      </c>
      <c r="C116" s="34" t="s">
        <v>401</v>
      </c>
      <c r="D116" s="32" t="s">
        <v>221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402</v>
      </c>
      <c r="B117" s="33" t="s">
        <v>403</v>
      </c>
      <c r="C117" s="34" t="s">
        <v>404</v>
      </c>
      <c r="D117" s="32" t="s">
        <v>342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405</v>
      </c>
      <c r="B118" s="33" t="s">
        <v>406</v>
      </c>
      <c r="C118" s="34" t="s">
        <v>407</v>
      </c>
      <c r="D118" s="32" t="s">
        <v>342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408</v>
      </c>
      <c r="B119" s="33" t="s">
        <v>409</v>
      </c>
      <c r="C119" s="34" t="s">
        <v>410</v>
      </c>
      <c r="D119" s="32" t="s">
        <v>342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411</v>
      </c>
      <c r="B120" s="29" t="s">
        <v>412</v>
      </c>
      <c r="C120" s="28" t="s">
        <v>413</v>
      </c>
      <c r="D120" s="28" t="s">
        <v>125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414</v>
      </c>
      <c r="B121" s="29" t="s">
        <v>415</v>
      </c>
      <c r="C121" s="28" t="s">
        <v>416</v>
      </c>
      <c r="D121" s="28" t="s">
        <v>342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417</v>
      </c>
      <c r="B122" s="29"/>
      <c r="C122" s="28" t="s">
        <v>418</v>
      </c>
      <c r="D122" s="28" t="s">
        <v>246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419</v>
      </c>
      <c r="B123" s="33" t="s">
        <v>420</v>
      </c>
      <c r="C123" s="34" t="s">
        <v>421</v>
      </c>
      <c r="D123" s="32" t="s">
        <v>306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422</v>
      </c>
      <c r="B124" s="33" t="s">
        <v>423</v>
      </c>
      <c r="C124" s="34" t="s">
        <v>424</v>
      </c>
      <c r="D124" s="32" t="s">
        <v>279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425</v>
      </c>
      <c r="B125" s="29" t="s">
        <v>426</v>
      </c>
      <c r="C125" s="28" t="s">
        <v>427</v>
      </c>
      <c r="D125" s="28" t="s">
        <v>167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428</v>
      </c>
      <c r="B126" s="33" t="s">
        <v>429</v>
      </c>
      <c r="C126" s="34" t="s">
        <v>430</v>
      </c>
      <c r="D126" s="32" t="s">
        <v>167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35</v>
      </c>
      <c r="B127" s="29" t="s">
        <v>431</v>
      </c>
      <c r="C127" s="28" t="s">
        <v>432</v>
      </c>
      <c r="D127" s="28" t="s">
        <v>167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433</v>
      </c>
      <c r="B128" s="29" t="s">
        <v>434</v>
      </c>
      <c r="C128" s="28" t="s">
        <v>125</v>
      </c>
      <c r="D128" s="28" t="s">
        <v>125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435</v>
      </c>
      <c r="B129" s="29" t="s">
        <v>436</v>
      </c>
      <c r="C129" s="28" t="s">
        <v>427</v>
      </c>
      <c r="D129" s="28" t="s">
        <v>167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437</v>
      </c>
      <c r="B130" s="29" t="s">
        <v>438</v>
      </c>
      <c r="C130" s="28" t="s">
        <v>439</v>
      </c>
      <c r="D130" s="28" t="s">
        <v>167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440</v>
      </c>
      <c r="B131" s="29" t="s">
        <v>441</v>
      </c>
      <c r="C131" s="28" t="s">
        <v>427</v>
      </c>
      <c r="D131" s="28" t="s">
        <v>167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442</v>
      </c>
      <c r="B132" s="29" t="s">
        <v>443</v>
      </c>
      <c r="C132" s="28" t="s">
        <v>427</v>
      </c>
      <c r="D132" s="28" t="s">
        <v>167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444</v>
      </c>
      <c r="B133" s="29" t="s">
        <v>445</v>
      </c>
      <c r="C133" s="28" t="s">
        <v>427</v>
      </c>
      <c r="D133" s="28" t="s">
        <v>167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446</v>
      </c>
      <c r="B134" s="29" t="s">
        <v>447</v>
      </c>
      <c r="C134" s="28" t="s">
        <v>427</v>
      </c>
      <c r="D134" s="28" t="s">
        <v>167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448</v>
      </c>
      <c r="B135" s="29" t="s">
        <v>449</v>
      </c>
      <c r="C135" s="28" t="s">
        <v>427</v>
      </c>
      <c r="D135" s="28" t="s">
        <v>167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450</v>
      </c>
      <c r="B136" s="29" t="s">
        <v>451</v>
      </c>
      <c r="C136" s="28" t="s">
        <v>125</v>
      </c>
      <c r="D136" s="28" t="s">
        <v>125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452</v>
      </c>
      <c r="B137" s="29" t="s">
        <v>453</v>
      </c>
      <c r="C137" s="34" t="s">
        <v>454</v>
      </c>
      <c r="D137" s="32" t="s">
        <v>455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456</v>
      </c>
      <c r="B138" s="29" t="s">
        <v>457</v>
      </c>
      <c r="C138" s="34" t="s">
        <v>458</v>
      </c>
      <c r="D138" s="32" t="s">
        <v>255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459</v>
      </c>
      <c r="B139" s="29" t="s">
        <v>460</v>
      </c>
      <c r="C139" s="34" t="s">
        <v>461</v>
      </c>
      <c r="D139" s="32" t="s">
        <v>137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462</v>
      </c>
      <c r="B140" s="29" t="s">
        <v>463</v>
      </c>
      <c r="C140" s="28" t="s">
        <v>125</v>
      </c>
      <c r="D140" s="28" t="s">
        <v>137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464</v>
      </c>
      <c r="B141" s="29" t="s">
        <v>465</v>
      </c>
      <c r="C141" s="34" t="s">
        <v>466</v>
      </c>
      <c r="D141" s="32" t="s">
        <v>137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467</v>
      </c>
      <c r="B142" s="29" t="s">
        <v>468</v>
      </c>
      <c r="C142" s="28" t="s">
        <v>125</v>
      </c>
      <c r="D142" s="28" t="s">
        <v>137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469</v>
      </c>
      <c r="B143" s="29" t="s">
        <v>470</v>
      </c>
      <c r="C143" s="34" t="s">
        <v>471</v>
      </c>
      <c r="D143" s="32" t="s">
        <v>137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472</v>
      </c>
      <c r="B144" s="29" t="s">
        <v>473</v>
      </c>
      <c r="C144" s="28" t="s">
        <v>474</v>
      </c>
      <c r="D144" s="28" t="s">
        <v>373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475</v>
      </c>
      <c r="B145" s="29" t="s">
        <v>476</v>
      </c>
      <c r="C145" s="28" t="s">
        <v>477</v>
      </c>
      <c r="D145" s="28" t="s">
        <v>207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478</v>
      </c>
      <c r="B146" s="29" t="s">
        <v>479</v>
      </c>
      <c r="C146" s="34" t="s">
        <v>480</v>
      </c>
      <c r="D146" s="32" t="s">
        <v>255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57</v>
      </c>
      <c r="B147" s="29" t="s">
        <v>481</v>
      </c>
      <c r="C147" s="34" t="s">
        <v>482</v>
      </c>
      <c r="D147" s="32" t="s">
        <v>255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483</v>
      </c>
      <c r="B148" s="29"/>
      <c r="C148" s="28" t="s">
        <v>477</v>
      </c>
      <c r="D148" s="28" t="s">
        <v>207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33</v>
      </c>
      <c r="B149" s="29" t="s">
        <v>484</v>
      </c>
      <c r="C149" s="34" t="s">
        <v>485</v>
      </c>
      <c r="D149" s="32" t="s">
        <v>486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487</v>
      </c>
      <c r="B150" s="29" t="s">
        <v>488</v>
      </c>
      <c r="C150" s="34" t="s">
        <v>489</v>
      </c>
      <c r="D150" s="32" t="s">
        <v>486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490</v>
      </c>
      <c r="B151" s="29"/>
      <c r="C151" s="28" t="s">
        <v>491</v>
      </c>
      <c r="D151" s="28" t="s">
        <v>213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492</v>
      </c>
      <c r="B152" s="29"/>
      <c r="C152" s="28" t="s">
        <v>125</v>
      </c>
      <c r="D152" s="28" t="s">
        <v>125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493</v>
      </c>
      <c r="B153" s="29" t="s">
        <v>494</v>
      </c>
      <c r="C153" s="28" t="s">
        <v>495</v>
      </c>
      <c r="D153" s="28" t="s">
        <v>496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497</v>
      </c>
      <c r="B154" s="29" t="s">
        <v>498</v>
      </c>
      <c r="C154" s="28" t="s">
        <v>499</v>
      </c>
      <c r="D154" s="28" t="s">
        <v>342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500</v>
      </c>
      <c r="B155" s="29"/>
      <c r="C155" s="28" t="s">
        <v>501</v>
      </c>
      <c r="D155" s="28" t="s">
        <v>235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502</v>
      </c>
      <c r="B156" s="29"/>
      <c r="C156" s="28" t="s">
        <v>125</v>
      </c>
      <c r="D156" s="28" t="s">
        <v>125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70</v>
      </c>
      <c r="B157" s="29" t="s">
        <v>503</v>
      </c>
      <c r="C157" s="28" t="s">
        <v>504</v>
      </c>
      <c r="D157" s="28" t="s">
        <v>366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53</v>
      </c>
      <c r="B158" s="29" t="s">
        <v>505</v>
      </c>
      <c r="C158" s="34" t="s">
        <v>506</v>
      </c>
      <c r="D158" s="32" t="s">
        <v>366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507</v>
      </c>
      <c r="B159" s="29" t="s">
        <v>508</v>
      </c>
      <c r="C159" s="34" t="s">
        <v>509</v>
      </c>
      <c r="D159" s="32" t="s">
        <v>366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507</v>
      </c>
      <c r="B160" s="29" t="s">
        <v>508</v>
      </c>
      <c r="C160" s="34" t="s">
        <v>510</v>
      </c>
      <c r="D160" s="32" t="s">
        <v>366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511</v>
      </c>
      <c r="B161" s="29" t="s">
        <v>512</v>
      </c>
      <c r="C161" s="34" t="s">
        <v>513</v>
      </c>
      <c r="D161" s="32" t="s">
        <v>260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514</v>
      </c>
      <c r="B162" s="29"/>
      <c r="C162" s="28" t="s">
        <v>125</v>
      </c>
      <c r="D162" s="28" t="s">
        <v>125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515</v>
      </c>
      <c r="B163" s="29" t="s">
        <v>516</v>
      </c>
      <c r="C163" s="28" t="s">
        <v>125</v>
      </c>
      <c r="D163" s="28" t="s">
        <v>125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517</v>
      </c>
      <c r="B164" s="29"/>
      <c r="C164" s="28" t="s">
        <v>518</v>
      </c>
      <c r="D164" s="28" t="s">
        <v>359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519</v>
      </c>
      <c r="B165" s="29" t="s">
        <v>520</v>
      </c>
      <c r="C165" s="28" t="s">
        <v>521</v>
      </c>
      <c r="D165" s="28" t="s">
        <v>125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522</v>
      </c>
      <c r="B166" s="29" t="s">
        <v>523</v>
      </c>
      <c r="C166" s="34" t="s">
        <v>524</v>
      </c>
      <c r="D166" s="32" t="s">
        <v>279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525</v>
      </c>
      <c r="B167" s="29" t="s">
        <v>526</v>
      </c>
      <c r="C167" s="28" t="s">
        <v>527</v>
      </c>
      <c r="D167" s="28" t="s">
        <v>235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528</v>
      </c>
      <c r="B168" s="29" t="s">
        <v>529</v>
      </c>
      <c r="C168" s="34" t="s">
        <v>530</v>
      </c>
      <c r="D168" s="32" t="s">
        <v>279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531</v>
      </c>
      <c r="B169" s="29" t="s">
        <v>532</v>
      </c>
      <c r="C169" s="34" t="s">
        <v>533</v>
      </c>
      <c r="D169" s="32" t="s">
        <v>279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534</v>
      </c>
      <c r="B170" s="29" t="s">
        <v>535</v>
      </c>
      <c r="C170" s="34" t="s">
        <v>536</v>
      </c>
      <c r="D170" s="32" t="s">
        <v>279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537</v>
      </c>
      <c r="B171" s="29" t="s">
        <v>538</v>
      </c>
      <c r="C171" s="30" t="s">
        <v>539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540</v>
      </c>
      <c r="B172" s="29"/>
      <c r="C172" s="28" t="s">
        <v>541</v>
      </c>
      <c r="D172" s="28" t="s">
        <v>203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542</v>
      </c>
      <c r="B173" s="29"/>
      <c r="C173" s="28" t="s">
        <v>125</v>
      </c>
      <c r="D173" s="28" t="s">
        <v>125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543</v>
      </c>
      <c r="B174" s="29" t="s">
        <v>544</v>
      </c>
      <c r="C174" s="34" t="s">
        <v>545</v>
      </c>
      <c r="D174" s="32" t="s">
        <v>213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546</v>
      </c>
      <c r="B175" s="29"/>
      <c r="C175" s="28" t="s">
        <v>125</v>
      </c>
      <c r="D175" s="28" t="s">
        <v>125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547</v>
      </c>
      <c r="B176" s="29"/>
      <c r="C176" s="28" t="s">
        <v>125</v>
      </c>
      <c r="D176" s="28" t="s">
        <v>125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548</v>
      </c>
      <c r="B177" s="29" t="s">
        <v>549</v>
      </c>
      <c r="C177" s="28" t="s">
        <v>550</v>
      </c>
      <c r="D177" s="28" t="s">
        <v>125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551</v>
      </c>
      <c r="B178" s="29"/>
      <c r="C178" s="28" t="s">
        <v>125</v>
      </c>
      <c r="D178" s="28" t="s">
        <v>125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552</v>
      </c>
      <c r="B179" s="29" t="s">
        <v>553</v>
      </c>
      <c r="C179" s="34" t="s">
        <v>554</v>
      </c>
      <c r="D179" s="32" t="s">
        <v>555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556</v>
      </c>
      <c r="B180" s="29"/>
      <c r="C180" s="28" t="s">
        <v>125</v>
      </c>
      <c r="D180" s="28" t="s">
        <v>125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557</v>
      </c>
      <c r="B181" s="29"/>
      <c r="C181" s="28" t="s">
        <v>558</v>
      </c>
      <c r="D181" s="28" t="s">
        <v>125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559</v>
      </c>
      <c r="B182" s="29" t="s">
        <v>560</v>
      </c>
      <c r="C182" s="28" t="s">
        <v>561</v>
      </c>
      <c r="D182" s="28" t="s">
        <v>134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562</v>
      </c>
      <c r="B183" s="29"/>
      <c r="C183" s="34" t="s">
        <v>563</v>
      </c>
      <c r="D183" s="32" t="s">
        <v>564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32</v>
      </c>
      <c r="B184" s="29" t="s">
        <v>565</v>
      </c>
      <c r="C184" s="34" t="s">
        <v>566</v>
      </c>
      <c r="D184" s="32" t="s">
        <v>306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567</v>
      </c>
      <c r="B185" s="29"/>
      <c r="C185" s="34" t="s">
        <v>568</v>
      </c>
      <c r="D185" s="32" t="s">
        <v>569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570</v>
      </c>
      <c r="B186" s="29" t="s">
        <v>571</v>
      </c>
      <c r="C186" s="34" t="s">
        <v>572</v>
      </c>
      <c r="D186" s="32" t="s">
        <v>235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573</v>
      </c>
      <c r="B187" s="29"/>
      <c r="C187" s="28" t="s">
        <v>125</v>
      </c>
      <c r="D187" s="28" t="s">
        <v>125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574</v>
      </c>
      <c r="B188" s="29"/>
      <c r="C188" s="28" t="s">
        <v>125</v>
      </c>
      <c r="D188" s="28" t="s">
        <v>125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575</v>
      </c>
      <c r="B189" s="29"/>
      <c r="C189" s="28" t="s">
        <v>576</v>
      </c>
      <c r="D189" s="28" t="s">
        <v>577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578</v>
      </c>
      <c r="B190" s="29" t="s">
        <v>579</v>
      </c>
      <c r="C190" s="34" t="s">
        <v>580</v>
      </c>
      <c r="D190" s="32" t="s">
        <v>239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581</v>
      </c>
      <c r="B191" s="29"/>
      <c r="C191" s="28" t="s">
        <v>582</v>
      </c>
      <c r="D191" s="28" t="s">
        <v>125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583</v>
      </c>
      <c r="B192" s="29" t="s">
        <v>584</v>
      </c>
      <c r="C192" s="28" t="s">
        <v>585</v>
      </c>
      <c r="D192" s="28" t="s">
        <v>137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586</v>
      </c>
      <c r="B193" s="29" t="s">
        <v>587</v>
      </c>
      <c r="C193" s="34" t="s">
        <v>588</v>
      </c>
      <c r="D193" s="32" t="s">
        <v>137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589</v>
      </c>
      <c r="B194" s="29" t="s">
        <v>590</v>
      </c>
      <c r="C194" s="34" t="s">
        <v>591</v>
      </c>
      <c r="D194" s="32" t="s">
        <v>137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592</v>
      </c>
      <c r="B195" s="29" t="s">
        <v>593</v>
      </c>
      <c r="C195" s="34" t="s">
        <v>588</v>
      </c>
      <c r="D195" s="32" t="s">
        <v>137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594</v>
      </c>
      <c r="B196" s="29" t="s">
        <v>595</v>
      </c>
      <c r="C196" s="28" t="s">
        <v>596</v>
      </c>
      <c r="D196" s="28" t="s">
        <v>597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598</v>
      </c>
      <c r="B197" s="29" t="s">
        <v>599</v>
      </c>
      <c r="C197" s="28" t="s">
        <v>600</v>
      </c>
      <c r="D197" s="28" t="s">
        <v>597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601</v>
      </c>
      <c r="B198" s="29" t="s">
        <v>602</v>
      </c>
      <c r="C198" s="28" t="s">
        <v>603</v>
      </c>
      <c r="D198" s="28" t="s">
        <v>235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604</v>
      </c>
      <c r="B199" s="29" t="s">
        <v>605</v>
      </c>
      <c r="C199" s="34" t="s">
        <v>606</v>
      </c>
      <c r="D199" s="32" t="s">
        <v>235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607</v>
      </c>
      <c r="B200" s="29" t="s">
        <v>608</v>
      </c>
      <c r="C200" s="28" t="s">
        <v>609</v>
      </c>
      <c r="D200" s="28" t="s">
        <v>610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611</v>
      </c>
      <c r="B201" s="29"/>
      <c r="C201" s="28" t="s">
        <v>612</v>
      </c>
      <c r="D201" s="28" t="s">
        <v>145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613</v>
      </c>
      <c r="B202" s="29"/>
      <c r="C202" s="28" t="s">
        <v>614</v>
      </c>
      <c r="D202" s="28" t="s">
        <v>366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615</v>
      </c>
      <c r="B203" s="29" t="s">
        <v>616</v>
      </c>
      <c r="C203" s="34" t="s">
        <v>617</v>
      </c>
      <c r="D203" s="32" t="s">
        <v>366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618</v>
      </c>
      <c r="B204" s="29"/>
      <c r="C204" s="28" t="s">
        <v>125</v>
      </c>
      <c r="D204" s="28" t="s">
        <v>125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619</v>
      </c>
      <c r="B205" s="29" t="s">
        <v>620</v>
      </c>
      <c r="C205" s="34" t="s">
        <v>621</v>
      </c>
      <c r="D205" s="32" t="s">
        <v>294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622</v>
      </c>
      <c r="B206" s="29"/>
      <c r="C206" s="28" t="s">
        <v>623</v>
      </c>
      <c r="D206" s="28" t="s">
        <v>624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625</v>
      </c>
      <c r="B207" s="29" t="s">
        <v>626</v>
      </c>
      <c r="C207" s="28" t="s">
        <v>125</v>
      </c>
      <c r="D207" s="28" t="s">
        <v>125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627</v>
      </c>
      <c r="B208" s="29"/>
      <c r="C208" s="28" t="s">
        <v>628</v>
      </c>
      <c r="D208" s="28" t="s">
        <v>577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629</v>
      </c>
      <c r="B209" s="29"/>
      <c r="C209" s="28" t="s">
        <v>125</v>
      </c>
      <c r="D209" s="28" t="s">
        <v>125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630</v>
      </c>
      <c r="B210" s="29" t="s">
        <v>631</v>
      </c>
      <c r="C210" s="28" t="s">
        <v>632</v>
      </c>
      <c r="D210" s="28" t="s">
        <v>577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633</v>
      </c>
      <c r="B211" s="29"/>
      <c r="C211" s="28" t="s">
        <v>125</v>
      </c>
      <c r="D211" s="28" t="s">
        <v>125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634</v>
      </c>
      <c r="B212" s="29"/>
      <c r="C212" s="28" t="s">
        <v>635</v>
      </c>
      <c r="D212" s="28" t="s">
        <v>125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636</v>
      </c>
      <c r="B213" s="29" t="s">
        <v>637</v>
      </c>
      <c r="C213" s="34" t="s">
        <v>638</v>
      </c>
      <c r="D213" s="32" t="s">
        <v>639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640</v>
      </c>
      <c r="B214" s="29" t="s">
        <v>641</v>
      </c>
      <c r="C214" s="34" t="s">
        <v>477</v>
      </c>
      <c r="D214" s="32" t="s">
        <v>255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642</v>
      </c>
      <c r="B215" s="29"/>
      <c r="C215" s="28" t="s">
        <v>125</v>
      </c>
      <c r="D215" s="28" t="s">
        <v>125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643</v>
      </c>
      <c r="B216" s="29"/>
      <c r="C216" s="28" t="s">
        <v>125</v>
      </c>
      <c r="D216" s="28" t="s">
        <v>125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644</v>
      </c>
      <c r="B217" s="29" t="s">
        <v>645</v>
      </c>
      <c r="C217" s="28" t="s">
        <v>646</v>
      </c>
      <c r="D217" s="28" t="s">
        <v>647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648</v>
      </c>
      <c r="B218" s="29"/>
      <c r="C218" s="28" t="s">
        <v>125</v>
      </c>
      <c r="D218" s="28" t="s">
        <v>125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649</v>
      </c>
      <c r="B219" s="29" t="s">
        <v>650</v>
      </c>
      <c r="C219" s="28" t="s">
        <v>651</v>
      </c>
      <c r="D219" s="28" t="s">
        <v>203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652</v>
      </c>
      <c r="B220" s="29" t="s">
        <v>653</v>
      </c>
      <c r="C220" s="34" t="s">
        <v>654</v>
      </c>
      <c r="D220" s="32" t="s">
        <v>203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655</v>
      </c>
      <c r="B221" s="29" t="s">
        <v>656</v>
      </c>
      <c r="C221" s="28" t="s">
        <v>657</v>
      </c>
      <c r="D221" s="28" t="s">
        <v>203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658</v>
      </c>
      <c r="B222" s="29"/>
      <c r="C222" s="28" t="s">
        <v>125</v>
      </c>
      <c r="D222" s="28" t="s">
        <v>125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659</v>
      </c>
      <c r="B223" s="29"/>
      <c r="C223" s="28" t="s">
        <v>660</v>
      </c>
      <c r="D223" s="28" t="s">
        <v>235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661</v>
      </c>
      <c r="B224" s="29" t="s">
        <v>662</v>
      </c>
      <c r="C224" s="34" t="s">
        <v>663</v>
      </c>
      <c r="D224" s="32" t="s">
        <v>555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664</v>
      </c>
      <c r="B225" s="29" t="s">
        <v>665</v>
      </c>
      <c r="C225" s="28" t="s">
        <v>666</v>
      </c>
      <c r="D225" s="28" t="s">
        <v>398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667</v>
      </c>
      <c r="B226" s="29"/>
      <c r="C226" s="28" t="s">
        <v>125</v>
      </c>
      <c r="D226" s="28" t="s">
        <v>668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669</v>
      </c>
      <c r="B227" s="29"/>
      <c r="C227" s="28" t="s">
        <v>125</v>
      </c>
      <c r="D227" s="28" t="s">
        <v>125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670</v>
      </c>
      <c r="B228" s="29" t="s">
        <v>671</v>
      </c>
      <c r="C228" s="34" t="s">
        <v>672</v>
      </c>
      <c r="D228" s="32" t="s">
        <v>167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673</v>
      </c>
      <c r="B229" s="29" t="s">
        <v>674</v>
      </c>
      <c r="C229" s="28" t="s">
        <v>125</v>
      </c>
      <c r="D229" s="28" t="s">
        <v>125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675</v>
      </c>
      <c r="B230" s="29"/>
      <c r="C230" s="28" t="s">
        <v>125</v>
      </c>
      <c r="D230" s="28" t="s">
        <v>125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676</v>
      </c>
      <c r="B231" s="29" t="s">
        <v>677</v>
      </c>
      <c r="C231" s="34" t="s">
        <v>678</v>
      </c>
      <c r="D231" s="32" t="s">
        <v>373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679</v>
      </c>
      <c r="B232" s="29" t="s">
        <v>680</v>
      </c>
      <c r="C232" s="28" t="s">
        <v>681</v>
      </c>
      <c r="D232" s="28" t="s">
        <v>213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682</v>
      </c>
      <c r="B233" s="29" t="s">
        <v>683</v>
      </c>
      <c r="C233" s="28" t="s">
        <v>681</v>
      </c>
      <c r="D233" s="28" t="s">
        <v>213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684</v>
      </c>
      <c r="B234" s="29" t="s">
        <v>685</v>
      </c>
      <c r="C234" s="28" t="s">
        <v>681</v>
      </c>
      <c r="D234" s="28" t="s">
        <v>213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686</v>
      </c>
      <c r="B235" s="29" t="s">
        <v>687</v>
      </c>
      <c r="C235" s="34" t="s">
        <v>688</v>
      </c>
      <c r="D235" s="32" t="s">
        <v>213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689</v>
      </c>
      <c r="B236" s="29" t="s">
        <v>690</v>
      </c>
      <c r="C236" s="28" t="s">
        <v>691</v>
      </c>
      <c r="D236" s="28" t="s">
        <v>294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692</v>
      </c>
      <c r="B237" s="29" t="s">
        <v>693</v>
      </c>
      <c r="C237" s="28" t="s">
        <v>681</v>
      </c>
      <c r="D237" s="28" t="s">
        <v>213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694</v>
      </c>
      <c r="B238" s="29" t="s">
        <v>695</v>
      </c>
      <c r="C238" s="34" t="s">
        <v>688</v>
      </c>
      <c r="D238" s="32" t="s">
        <v>213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696</v>
      </c>
      <c r="B239" s="29" t="s">
        <v>697</v>
      </c>
      <c r="C239" s="34" t="s">
        <v>698</v>
      </c>
      <c r="D239" s="32" t="s">
        <v>213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699</v>
      </c>
      <c r="B240" s="29"/>
      <c r="C240" s="28" t="s">
        <v>125</v>
      </c>
      <c r="D240" s="28" t="s">
        <v>213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700</v>
      </c>
      <c r="B241" s="29"/>
      <c r="C241" s="28" t="s">
        <v>701</v>
      </c>
      <c r="D241" s="28" t="s">
        <v>213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702</v>
      </c>
      <c r="B242" s="29" t="s">
        <v>703</v>
      </c>
      <c r="C242" s="28" t="s">
        <v>681</v>
      </c>
      <c r="D242" s="28" t="s">
        <v>213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704</v>
      </c>
      <c r="B243" s="29" t="s">
        <v>705</v>
      </c>
      <c r="C243" s="34" t="s">
        <v>706</v>
      </c>
      <c r="D243" s="32" t="s">
        <v>213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707</v>
      </c>
      <c r="B244" s="29" t="s">
        <v>708</v>
      </c>
      <c r="C244" s="28" t="s">
        <v>709</v>
      </c>
      <c r="D244" s="28" t="s">
        <v>213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710</v>
      </c>
      <c r="B245" s="29" t="s">
        <v>711</v>
      </c>
      <c r="C245" s="34" t="s">
        <v>712</v>
      </c>
      <c r="D245" s="32" t="s">
        <v>213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713</v>
      </c>
      <c r="B246" s="29" t="s">
        <v>714</v>
      </c>
      <c r="C246" s="34" t="s">
        <v>715</v>
      </c>
      <c r="D246" s="32" t="s">
        <v>213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716</v>
      </c>
      <c r="B247" s="29" t="s">
        <v>717</v>
      </c>
      <c r="C247" s="30" t="s">
        <v>688</v>
      </c>
      <c r="D247" s="30" t="s">
        <v>213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718</v>
      </c>
      <c r="B248" s="29" t="s">
        <v>719</v>
      </c>
      <c r="C248" s="28" t="s">
        <v>681</v>
      </c>
      <c r="D248" s="28" t="s">
        <v>213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720</v>
      </c>
      <c r="B249" s="29" t="s">
        <v>721</v>
      </c>
      <c r="C249" s="28" t="s">
        <v>722</v>
      </c>
      <c r="D249" s="28" t="s">
        <v>723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724</v>
      </c>
      <c r="B250" s="29"/>
      <c r="C250" s="28" t="s">
        <v>725</v>
      </c>
      <c r="D250" s="28" t="s">
        <v>167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726</v>
      </c>
      <c r="B251" s="29"/>
      <c r="C251" s="28" t="s">
        <v>125</v>
      </c>
      <c r="D251" s="28" t="s">
        <v>125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727</v>
      </c>
      <c r="B252" s="29" t="s">
        <v>728</v>
      </c>
      <c r="C252" s="34" t="s">
        <v>729</v>
      </c>
      <c r="D252" s="32" t="s">
        <v>730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731</v>
      </c>
      <c r="B253" s="29"/>
      <c r="C253" s="28" t="s">
        <v>125</v>
      </c>
      <c r="D253" s="28" t="s">
        <v>125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732</v>
      </c>
      <c r="B254" s="29"/>
      <c r="C254" s="28" t="s">
        <v>733</v>
      </c>
      <c r="D254" s="28" t="s">
        <v>734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31</v>
      </c>
      <c r="B255" s="29" t="s">
        <v>735</v>
      </c>
      <c r="C255" s="34" t="s">
        <v>736</v>
      </c>
      <c r="D255" s="32" t="s">
        <v>239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737</v>
      </c>
      <c r="C2" s="38"/>
      <c r="D2" s="38"/>
      <c r="E2" s="38"/>
      <c r="F2" s="39"/>
      <c r="G2" s="40" t="s">
        <v>738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739</v>
      </c>
      <c r="D3" s="44"/>
      <c r="E3" s="45" t="s">
        <v>740</v>
      </c>
      <c r="F3" s="46"/>
      <c r="G3" s="47" t="s">
        <v>741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742</v>
      </c>
      <c r="D4" s="50"/>
      <c r="E4" s="51" t="s">
        <v>743</v>
      </c>
      <c r="F4" s="52"/>
      <c r="G4" s="53" t="s">
        <v>744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745</v>
      </c>
      <c r="D5" s="50"/>
      <c r="E5" s="51" t="s">
        <v>746</v>
      </c>
      <c r="F5" s="52"/>
      <c r="G5" s="53" t="s">
        <v>747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748</v>
      </c>
      <c r="D6" s="50"/>
      <c r="E6" s="51" t="s">
        <v>749</v>
      </c>
      <c r="F6" s="52"/>
      <c r="G6" s="53" t="s">
        <v>750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751</v>
      </c>
      <c r="D7" s="50"/>
      <c r="E7" s="51" t="s">
        <v>752</v>
      </c>
      <c r="F7" s="52"/>
      <c r="G7" s="53" t="s">
        <v>753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754</v>
      </c>
      <c r="D8" s="50"/>
      <c r="E8" s="51" t="s">
        <v>755</v>
      </c>
      <c r="F8" s="52"/>
      <c r="G8" s="53" t="s">
        <v>756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757</v>
      </c>
      <c r="D9" s="50"/>
      <c r="E9" s="51" t="s">
        <v>758</v>
      </c>
      <c r="F9" s="52"/>
      <c r="G9" s="53" t="s">
        <v>759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760</v>
      </c>
      <c r="D10" s="50"/>
      <c r="E10" s="51" t="s">
        <v>761</v>
      </c>
      <c r="F10" s="52"/>
      <c r="G10" s="53" t="s">
        <v>762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763</v>
      </c>
      <c r="D11" s="50"/>
      <c r="E11" s="51" t="s">
        <v>764</v>
      </c>
      <c r="F11" s="52"/>
      <c r="G11" s="53" t="s">
        <v>765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766</v>
      </c>
      <c r="D12" s="57"/>
      <c r="E12" s="58" t="s">
        <v>767</v>
      </c>
      <c r="F12" s="59"/>
      <c r="G12" s="60" t="s">
        <v>768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769</v>
      </c>
      <c r="C13" s="38"/>
      <c r="D13" s="38"/>
      <c r="E13" s="38"/>
      <c r="F13" s="39"/>
      <c r="G13" s="62" t="s">
        <v>738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770</v>
      </c>
      <c r="D14" s="64"/>
      <c r="E14" s="45" t="s">
        <v>771</v>
      </c>
      <c r="F14" s="46"/>
      <c r="G14" s="65" t="s">
        <v>772</v>
      </c>
    </row>
    <row r="15" ht="30.75" customHeight="1">
      <c r="B15" s="48">
        <v>2.0</v>
      </c>
      <c r="C15" s="54" t="s">
        <v>773</v>
      </c>
      <c r="D15" s="66"/>
      <c r="E15" s="51" t="s">
        <v>774</v>
      </c>
      <c r="F15" s="52"/>
      <c r="G15" s="67" t="s">
        <v>775</v>
      </c>
    </row>
    <row r="16" ht="30.75" customHeight="1">
      <c r="B16" s="48">
        <v>3.0</v>
      </c>
      <c r="C16" s="54" t="s">
        <v>776</v>
      </c>
      <c r="D16" s="66"/>
      <c r="E16" s="51" t="s">
        <v>777</v>
      </c>
      <c r="F16" s="52"/>
      <c r="G16" s="67" t="s">
        <v>778</v>
      </c>
    </row>
    <row r="17" ht="45.0" customHeight="1">
      <c r="B17" s="48">
        <v>4.0</v>
      </c>
      <c r="C17" s="54" t="s">
        <v>779</v>
      </c>
      <c r="D17" s="68"/>
      <c r="E17" s="58" t="s">
        <v>780</v>
      </c>
      <c r="F17" s="59"/>
      <c r="G17" s="69" t="s">
        <v>781</v>
      </c>
    </row>
    <row r="18" ht="19.5" customHeight="1">
      <c r="B18" s="70">
        <v>5.0</v>
      </c>
      <c r="C18" s="71" t="s">
        <v>782</v>
      </c>
      <c r="D18" s="72"/>
      <c r="E18" s="73" t="s">
        <v>783</v>
      </c>
      <c r="F18" s="74"/>
      <c r="G18" s="60" t="s">
        <v>784</v>
      </c>
    </row>
    <row r="19" ht="45.75" customHeight="1">
      <c r="B19" s="75"/>
      <c r="C19" s="76"/>
      <c r="D19" s="77"/>
      <c r="E19" s="78" t="s">
        <v>785</v>
      </c>
      <c r="F19" s="79"/>
      <c r="G19" s="80" t="s">
        <v>786</v>
      </c>
    </row>
    <row r="20">
      <c r="B20" s="48">
        <v>6.0</v>
      </c>
      <c r="C20" s="81" t="s">
        <v>787</v>
      </c>
      <c r="D20" s="77"/>
      <c r="E20" s="82" t="s">
        <v>788</v>
      </c>
      <c r="F20" s="77"/>
      <c r="G20" s="53" t="s">
        <v>789</v>
      </c>
    </row>
    <row r="21">
      <c r="B21" s="48">
        <v>7.0</v>
      </c>
      <c r="C21" s="81" t="s">
        <v>790</v>
      </c>
      <c r="D21" s="83"/>
      <c r="E21" s="84" t="s">
        <v>791</v>
      </c>
      <c r="F21" s="83"/>
      <c r="G21" s="53" t="s">
        <v>792</v>
      </c>
    </row>
    <row r="22">
      <c r="B22" s="48">
        <v>8.0</v>
      </c>
      <c r="C22" s="81" t="s">
        <v>793</v>
      </c>
      <c r="D22" s="83"/>
      <c r="E22" s="51" t="s">
        <v>794</v>
      </c>
      <c r="F22" s="52"/>
      <c r="G22" s="85" t="s">
        <v>795</v>
      </c>
    </row>
    <row r="23">
      <c r="B23" s="55">
        <v>9.0</v>
      </c>
      <c r="C23" s="86" t="s">
        <v>796</v>
      </c>
      <c r="D23" s="72"/>
      <c r="E23" s="58" t="s">
        <v>797</v>
      </c>
      <c r="F23" s="59"/>
      <c r="G23" s="60" t="s">
        <v>798</v>
      </c>
    </row>
    <row r="24" ht="30.75" customHeight="1">
      <c r="B24" s="87" t="s">
        <v>799</v>
      </c>
      <c r="C24" s="38"/>
      <c r="D24" s="38"/>
      <c r="E24" s="38"/>
      <c r="F24" s="38"/>
      <c r="G24" s="88"/>
    </row>
    <row r="27" ht="23.25" customHeight="1">
      <c r="A27" s="89"/>
      <c r="B27" s="90" t="s">
        <v>800</v>
      </c>
      <c r="C27" s="91" t="s">
        <v>801</v>
      </c>
      <c r="D27" s="92" t="s">
        <v>802</v>
      </c>
      <c r="E27" s="39"/>
      <c r="F27" s="92" t="s">
        <v>738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803</v>
      </c>
      <c r="D28" s="95">
        <v>1.0</v>
      </c>
      <c r="E28" s="96" t="s">
        <v>804</v>
      </c>
      <c r="F28" s="97"/>
      <c r="G28" s="98"/>
    </row>
    <row r="29" ht="33.0" customHeight="1">
      <c r="B29" s="75"/>
      <c r="C29" s="99"/>
      <c r="D29" s="100">
        <v>2.0</v>
      </c>
      <c r="E29" s="101" t="s">
        <v>805</v>
      </c>
      <c r="F29" s="102"/>
      <c r="G29" s="103"/>
    </row>
    <row r="30" ht="33.0" customHeight="1">
      <c r="B30" s="48">
        <v>2.0</v>
      </c>
      <c r="C30" s="84" t="s">
        <v>806</v>
      </c>
      <c r="D30" s="104" t="s">
        <v>807</v>
      </c>
      <c r="E30" s="52"/>
      <c r="F30" s="102"/>
      <c r="G30" s="103"/>
    </row>
    <row r="31" ht="50.25" customHeight="1">
      <c r="B31" s="48">
        <v>3.0</v>
      </c>
      <c r="C31" s="105" t="s">
        <v>808</v>
      </c>
      <c r="D31" s="104" t="s">
        <v>809</v>
      </c>
      <c r="E31" s="52"/>
      <c r="F31" s="102"/>
      <c r="G31" s="103"/>
    </row>
    <row r="32" ht="33.0" customHeight="1">
      <c r="B32" s="48">
        <v>4.0</v>
      </c>
      <c r="C32" s="84" t="s">
        <v>810</v>
      </c>
      <c r="D32" s="104" t="s">
        <v>811</v>
      </c>
      <c r="E32" s="52"/>
      <c r="F32" s="106"/>
      <c r="G32" s="103"/>
    </row>
    <row r="33" ht="33.0" customHeight="1">
      <c r="B33" s="48">
        <v>5.0</v>
      </c>
      <c r="C33" s="84" t="s">
        <v>812</v>
      </c>
      <c r="D33" s="104" t="s">
        <v>813</v>
      </c>
      <c r="E33" s="52"/>
      <c r="F33" s="106"/>
      <c r="G33" s="103"/>
    </row>
    <row r="34" ht="33.0" customHeight="1">
      <c r="B34" s="48">
        <v>6.0</v>
      </c>
      <c r="C34" s="84" t="s">
        <v>814</v>
      </c>
      <c r="D34" s="104" t="s">
        <v>815</v>
      </c>
      <c r="E34" s="52"/>
      <c r="F34" s="106"/>
      <c r="G34" s="103"/>
    </row>
    <row r="35" ht="33.0" customHeight="1">
      <c r="B35" s="107">
        <v>7.0</v>
      </c>
      <c r="C35" s="108" t="s">
        <v>816</v>
      </c>
      <c r="D35" s="109" t="s">
        <v>817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818</v>
      </c>
      <c r="B1" s="21" t="s">
        <v>9</v>
      </c>
      <c r="C1" s="21" t="s">
        <v>819</v>
      </c>
      <c r="D1" s="21" t="s">
        <v>820</v>
      </c>
      <c r="E1" s="21" t="s">
        <v>821</v>
      </c>
      <c r="F1" s="21" t="s">
        <v>822</v>
      </c>
      <c r="G1" s="21" t="s">
        <v>823</v>
      </c>
      <c r="H1" s="113" t="s">
        <v>824</v>
      </c>
      <c r="I1" s="114" t="s">
        <v>825</v>
      </c>
      <c r="J1" s="114" t="s">
        <v>826</v>
      </c>
      <c r="K1" s="113" t="s">
        <v>827</v>
      </c>
      <c r="L1" s="114" t="s">
        <v>828</v>
      </c>
      <c r="M1" s="114" t="s">
        <v>829</v>
      </c>
      <c r="N1" s="114" t="s">
        <v>830</v>
      </c>
      <c r="O1" s="114" t="s">
        <v>831</v>
      </c>
      <c r="P1" s="114" t="s">
        <v>832</v>
      </c>
      <c r="Q1" s="115" t="s">
        <v>833</v>
      </c>
      <c r="R1" s="114" t="s">
        <v>834</v>
      </c>
      <c r="S1" s="114" t="s">
        <v>835</v>
      </c>
      <c r="T1" s="114" t="s">
        <v>836</v>
      </c>
      <c r="U1" s="114" t="s">
        <v>837</v>
      </c>
      <c r="V1" s="114" t="s">
        <v>838</v>
      </c>
      <c r="W1" s="114" t="s">
        <v>839</v>
      </c>
      <c r="X1" s="114" t="s">
        <v>840</v>
      </c>
      <c r="Y1" s="114" t="s">
        <v>841</v>
      </c>
      <c r="Z1" s="114" t="s">
        <v>842</v>
      </c>
      <c r="AA1" s="114" t="s">
        <v>843</v>
      </c>
      <c r="AB1" s="114" t="s">
        <v>844</v>
      </c>
      <c r="AC1" s="114" t="s">
        <v>845</v>
      </c>
      <c r="AD1" s="114" t="s">
        <v>846</v>
      </c>
      <c r="AE1" s="114" t="s">
        <v>79</v>
      </c>
      <c r="AF1" s="114" t="s">
        <v>847</v>
      </c>
      <c r="AH1" s="116" t="s">
        <v>848</v>
      </c>
      <c r="AI1" s="116" t="s">
        <v>849</v>
      </c>
      <c r="AJ1" s="116" t="s">
        <v>850</v>
      </c>
      <c r="AK1" s="116" t="s">
        <v>851</v>
      </c>
      <c r="AL1" s="116" t="s">
        <v>852</v>
      </c>
    </row>
    <row r="2">
      <c r="A2" s="22">
        <v>0.0</v>
      </c>
      <c r="B2" s="22" t="s">
        <v>28</v>
      </c>
      <c r="C2" s="22" t="s">
        <v>36</v>
      </c>
      <c r="D2" s="22" t="s">
        <v>853</v>
      </c>
      <c r="F2" s="117" t="s">
        <v>30</v>
      </c>
      <c r="G2" s="22" t="s">
        <v>854</v>
      </c>
      <c r="H2" s="22" t="s">
        <v>38</v>
      </c>
      <c r="I2" s="22" t="s">
        <v>855</v>
      </c>
      <c r="J2" s="22" t="s">
        <v>855</v>
      </c>
      <c r="K2" s="22" t="s">
        <v>855</v>
      </c>
      <c r="L2" s="22" t="s">
        <v>855</v>
      </c>
      <c r="M2" s="22" t="s">
        <v>855</v>
      </c>
      <c r="N2" s="22" t="s">
        <v>855</v>
      </c>
      <c r="O2" s="22" t="s">
        <v>856</v>
      </c>
      <c r="P2" s="22" t="s">
        <v>857</v>
      </c>
      <c r="Q2" s="22" t="s">
        <v>858</v>
      </c>
      <c r="R2" s="22" t="s">
        <v>859</v>
      </c>
      <c r="S2" s="22" t="s">
        <v>860</v>
      </c>
      <c r="T2" s="22" t="s">
        <v>861</v>
      </c>
      <c r="U2" s="22" t="s">
        <v>862</v>
      </c>
      <c r="V2" s="22" t="s">
        <v>863</v>
      </c>
      <c r="W2" s="22" t="s">
        <v>864</v>
      </c>
      <c r="X2" s="22" t="s">
        <v>865</v>
      </c>
      <c r="Y2" s="22" t="s">
        <v>866</v>
      </c>
      <c r="Z2" s="22" t="s">
        <v>867</v>
      </c>
      <c r="AA2" s="22" t="s">
        <v>868</v>
      </c>
      <c r="AB2" s="22" t="s">
        <v>869</v>
      </c>
      <c r="AC2" s="22" t="s">
        <v>870</v>
      </c>
      <c r="AD2" s="22" t="s">
        <v>871</v>
      </c>
      <c r="AE2" s="22" t="s">
        <v>872</v>
      </c>
      <c r="AF2" s="118" t="s">
        <v>873</v>
      </c>
      <c r="AH2" s="22" t="s">
        <v>874</v>
      </c>
      <c r="AI2" s="116" t="s">
        <v>875</v>
      </c>
      <c r="AJ2" s="22" t="s">
        <v>876</v>
      </c>
      <c r="AK2" s="119" t="s">
        <v>877</v>
      </c>
      <c r="AL2" s="22" t="s">
        <v>878</v>
      </c>
    </row>
    <row r="3">
      <c r="A3" s="22">
        <v>1.0</v>
      </c>
      <c r="B3" s="22" t="s">
        <v>26</v>
      </c>
      <c r="C3" s="22" t="s">
        <v>58</v>
      </c>
      <c r="D3" s="22" t="s">
        <v>879</v>
      </c>
      <c r="F3" s="117" t="s">
        <v>880</v>
      </c>
      <c r="G3" s="22" t="s">
        <v>881</v>
      </c>
      <c r="H3" s="22" t="s">
        <v>47</v>
      </c>
      <c r="I3" s="22" t="s">
        <v>882</v>
      </c>
      <c r="J3" s="22" t="s">
        <v>882</v>
      </c>
      <c r="K3" s="22" t="s">
        <v>882</v>
      </c>
      <c r="L3" s="22" t="s">
        <v>883</v>
      </c>
      <c r="M3" s="22" t="s">
        <v>884</v>
      </c>
      <c r="N3" s="22" t="s">
        <v>885</v>
      </c>
      <c r="O3" s="22" t="s">
        <v>886</v>
      </c>
      <c r="P3" s="22" t="s">
        <v>887</v>
      </c>
      <c r="Q3" s="22" t="s">
        <v>888</v>
      </c>
      <c r="R3" s="22" t="s">
        <v>889</v>
      </c>
      <c r="S3" s="22" t="s">
        <v>890</v>
      </c>
      <c r="T3" s="22" t="s">
        <v>863</v>
      </c>
      <c r="U3" s="22" t="s">
        <v>891</v>
      </c>
      <c r="V3" s="22" t="s">
        <v>887</v>
      </c>
      <c r="W3" s="22" t="s">
        <v>892</v>
      </c>
      <c r="X3" s="22" t="s">
        <v>893</v>
      </c>
      <c r="Y3" s="22" t="s">
        <v>894</v>
      </c>
      <c r="Z3" s="22" t="s">
        <v>895</v>
      </c>
      <c r="AA3" s="22" t="s">
        <v>896</v>
      </c>
      <c r="AB3" s="22" t="s">
        <v>897</v>
      </c>
      <c r="AC3" s="22" t="s">
        <v>898</v>
      </c>
      <c r="AD3" s="22" t="s">
        <v>899</v>
      </c>
      <c r="AE3" s="22" t="s">
        <v>900</v>
      </c>
      <c r="AF3" s="118" t="s">
        <v>901</v>
      </c>
      <c r="AH3" s="22" t="s">
        <v>25</v>
      </c>
      <c r="AI3" s="116" t="s">
        <v>902</v>
      </c>
      <c r="AJ3" s="120" t="s">
        <v>903</v>
      </c>
      <c r="AK3" s="119" t="s">
        <v>904</v>
      </c>
      <c r="AL3" s="22" t="s">
        <v>905</v>
      </c>
    </row>
    <row r="4">
      <c r="A4" s="22">
        <v>2.0</v>
      </c>
      <c r="B4" s="22" t="s">
        <v>34</v>
      </c>
      <c r="C4" s="22" t="s">
        <v>906</v>
      </c>
      <c r="D4" s="22" t="s">
        <v>907</v>
      </c>
      <c r="F4" s="117" t="s">
        <v>908</v>
      </c>
      <c r="G4" s="22" t="s">
        <v>909</v>
      </c>
      <c r="H4" s="22" t="s">
        <v>910</v>
      </c>
      <c r="I4" s="22" t="s">
        <v>857</v>
      </c>
      <c r="J4" s="22" t="s">
        <v>857</v>
      </c>
      <c r="K4" s="22" t="s">
        <v>857</v>
      </c>
      <c r="L4" s="22" t="s">
        <v>911</v>
      </c>
      <c r="M4" s="22" t="s">
        <v>912</v>
      </c>
      <c r="N4" s="22" t="s">
        <v>913</v>
      </c>
      <c r="P4" s="22" t="s">
        <v>914</v>
      </c>
      <c r="Q4" s="22" t="s">
        <v>915</v>
      </c>
      <c r="R4" s="22" t="s">
        <v>916</v>
      </c>
      <c r="S4" s="22" t="s">
        <v>917</v>
      </c>
      <c r="U4" s="22" t="s">
        <v>918</v>
      </c>
      <c r="V4" s="22" t="s">
        <v>919</v>
      </c>
      <c r="W4" s="22" t="s">
        <v>920</v>
      </c>
      <c r="X4" s="22" t="s">
        <v>921</v>
      </c>
      <c r="Z4" s="22" t="s">
        <v>922</v>
      </c>
      <c r="AA4" s="22" t="s">
        <v>923</v>
      </c>
      <c r="AB4" s="22" t="s">
        <v>924</v>
      </c>
      <c r="AC4" s="22" t="s">
        <v>925</v>
      </c>
      <c r="AD4" s="22" t="s">
        <v>926</v>
      </c>
      <c r="AE4" s="22" t="s">
        <v>927</v>
      </c>
      <c r="AF4" s="118" t="s">
        <v>928</v>
      </c>
      <c r="AH4" s="22" t="s">
        <v>929</v>
      </c>
      <c r="AJ4" s="22" t="s">
        <v>930</v>
      </c>
      <c r="AK4" s="119" t="s">
        <v>931</v>
      </c>
      <c r="AL4" s="22" t="s">
        <v>932</v>
      </c>
    </row>
    <row r="5">
      <c r="A5" s="117"/>
      <c r="B5" s="22" t="s">
        <v>933</v>
      </c>
      <c r="C5" s="22" t="s">
        <v>934</v>
      </c>
      <c r="D5" s="22" t="s">
        <v>935</v>
      </c>
      <c r="F5" s="117"/>
      <c r="G5" s="22" t="s">
        <v>936</v>
      </c>
      <c r="H5" s="22" t="s">
        <v>937</v>
      </c>
      <c r="Q5" s="22" t="s">
        <v>938</v>
      </c>
      <c r="R5" s="22" t="s">
        <v>939</v>
      </c>
      <c r="U5" s="22" t="s">
        <v>940</v>
      </c>
      <c r="X5" s="22" t="s">
        <v>941</v>
      </c>
      <c r="Z5" s="121" t="s">
        <v>939</v>
      </c>
      <c r="AB5" s="22" t="s">
        <v>942</v>
      </c>
      <c r="AC5" s="22" t="s">
        <v>943</v>
      </c>
      <c r="AD5" s="22" t="s">
        <v>944</v>
      </c>
      <c r="AE5" s="22" t="s">
        <v>945</v>
      </c>
      <c r="AF5" s="118" t="s">
        <v>946</v>
      </c>
      <c r="AH5" s="22" t="s">
        <v>947</v>
      </c>
      <c r="AJ5" s="120" t="s">
        <v>948</v>
      </c>
      <c r="AK5" s="119" t="s">
        <v>949</v>
      </c>
      <c r="AL5" s="22" t="s">
        <v>950</v>
      </c>
    </row>
    <row r="6">
      <c r="B6" s="22" t="s">
        <v>951</v>
      </c>
      <c r="C6" s="22" t="s">
        <v>952</v>
      </c>
      <c r="D6" s="22" t="s">
        <v>46</v>
      </c>
      <c r="F6" s="117"/>
      <c r="G6" s="22" t="s">
        <v>953</v>
      </c>
      <c r="R6" s="22" t="s">
        <v>954</v>
      </c>
      <c r="X6" s="22" t="s">
        <v>955</v>
      </c>
      <c r="Z6" s="121" t="s">
        <v>954</v>
      </c>
      <c r="AD6" s="22" t="s">
        <v>956</v>
      </c>
      <c r="AF6" s="118" t="s">
        <v>957</v>
      </c>
      <c r="AH6" s="22" t="s">
        <v>958</v>
      </c>
      <c r="AJ6" s="22" t="s">
        <v>959</v>
      </c>
      <c r="AL6" s="22" t="s">
        <v>960</v>
      </c>
    </row>
    <row r="7">
      <c r="B7" s="22" t="s">
        <v>961</v>
      </c>
      <c r="C7" s="22" t="s">
        <v>962</v>
      </c>
      <c r="D7" s="22" t="s">
        <v>963</v>
      </c>
      <c r="F7" s="117"/>
      <c r="G7" s="22" t="s">
        <v>964</v>
      </c>
      <c r="R7" s="22" t="s">
        <v>965</v>
      </c>
      <c r="X7" s="22" t="s">
        <v>966</v>
      </c>
      <c r="Z7" s="121" t="s">
        <v>965</v>
      </c>
      <c r="AD7" s="22" t="s">
        <v>967</v>
      </c>
      <c r="AF7" s="118" t="s">
        <v>968</v>
      </c>
      <c r="AH7" s="22" t="s">
        <v>969</v>
      </c>
      <c r="AJ7" s="120" t="s">
        <v>970</v>
      </c>
      <c r="AL7" s="22" t="s">
        <v>971</v>
      </c>
    </row>
    <row r="8">
      <c r="C8" s="22" t="s">
        <v>972</v>
      </c>
      <c r="D8" s="22" t="s">
        <v>37</v>
      </c>
      <c r="F8" s="117"/>
      <c r="G8" s="117" t="s">
        <v>973</v>
      </c>
      <c r="R8" s="22" t="s">
        <v>974</v>
      </c>
      <c r="X8" s="22" t="s">
        <v>975</v>
      </c>
      <c r="Z8" s="121" t="s">
        <v>974</v>
      </c>
      <c r="AD8" s="22" t="s">
        <v>976</v>
      </c>
      <c r="AF8" s="118" t="s">
        <v>977</v>
      </c>
      <c r="AH8" s="22" t="s">
        <v>978</v>
      </c>
      <c r="AJ8" s="120" t="s">
        <v>979</v>
      </c>
    </row>
    <row r="9">
      <c r="C9" s="22" t="s">
        <v>980</v>
      </c>
      <c r="D9" s="22" t="s">
        <v>981</v>
      </c>
      <c r="F9" s="117"/>
      <c r="G9" s="22" t="s">
        <v>982</v>
      </c>
      <c r="AD9" s="22" t="s">
        <v>983</v>
      </c>
      <c r="AF9" s="118" t="s">
        <v>984</v>
      </c>
      <c r="AH9" s="22" t="s">
        <v>985</v>
      </c>
      <c r="AJ9" s="120" t="s">
        <v>986</v>
      </c>
    </row>
    <row r="10">
      <c r="C10" s="22" t="s">
        <v>987</v>
      </c>
      <c r="F10" s="117"/>
      <c r="G10" s="22" t="s">
        <v>988</v>
      </c>
      <c r="AD10" s="22" t="s">
        <v>989</v>
      </c>
      <c r="AH10" s="22" t="s">
        <v>990</v>
      </c>
      <c r="AJ10" s="22" t="s">
        <v>991</v>
      </c>
    </row>
    <row r="11">
      <c r="C11" s="22" t="s">
        <v>992</v>
      </c>
      <c r="F11" s="117"/>
      <c r="AJ11" s="120" t="s">
        <v>993</v>
      </c>
    </row>
    <row r="12">
      <c r="C12" s="22" t="s">
        <v>67</v>
      </c>
      <c r="F12" s="117"/>
      <c r="AJ12" s="22" t="s">
        <v>994</v>
      </c>
    </row>
    <row r="13">
      <c r="C13" s="22" t="s">
        <v>995</v>
      </c>
      <c r="F13" s="117"/>
      <c r="AJ13" s="120" t="s">
        <v>996</v>
      </c>
    </row>
    <row r="14">
      <c r="F14" s="117"/>
      <c r="AJ14" s="22" t="s">
        <v>997</v>
      </c>
    </row>
    <row r="15">
      <c r="C15" s="22" t="s">
        <v>998</v>
      </c>
      <c r="AJ15" s="120" t="s">
        <v>999</v>
      </c>
    </row>
    <row r="16">
      <c r="AJ16" s="22" t="s">
        <v>1000</v>
      </c>
    </row>
    <row r="17">
      <c r="AJ17" s="120" t="s">
        <v>1001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