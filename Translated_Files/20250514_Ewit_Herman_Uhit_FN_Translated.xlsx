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BDCLwNHALeM5AcMhDlUBIMiLR+O1J4NUIL/CaDOPvdM="/>
    </ext>
  </extLst>
</workbook>
</file>

<file path=xl/sharedStrings.xml><?xml version="1.0" encoding="utf-8"?>
<sst xmlns="http://schemas.openxmlformats.org/spreadsheetml/2006/main" count="1981" uniqueCount="1023">
  <si>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</si>
  <si>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</si>
  <si>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</si>
  <si>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</si>
  <si>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</si>
  <si>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</si>
  <si>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</si>
  <si>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</si>
  <si>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</si>
  <si>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</si>
  <si>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</si>
  <si>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</si>
  <si>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</si>
  <si>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</si>
  <si>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</si>
  <si>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</si>
  <si>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</si>
  <si>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</si>
  <si>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</si>
  <si>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</si>
  <si>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</si>
  <si>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</si>
  <si>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</si>
  <si>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Uhit</t>
  </si>
  <si>
    <t>FN</t>
  </si>
  <si>
    <t>Ewat</t>
  </si>
  <si>
    <t>R</t>
  </si>
  <si>
    <t>tengah</t>
  </si>
  <si>
    <t>Jumpa Ewit di pohon Bintan di E-70</t>
  </si>
  <si>
    <t>M</t>
  </si>
  <si>
    <t>F</t>
  </si>
  <si>
    <t>Akar kuku elang</t>
  </si>
  <si>
    <t>fr/M</t>
  </si>
  <si>
    <t>dg+kul</t>
  </si>
  <si>
    <t>meludah</t>
  </si>
  <si>
    <t>atas</t>
  </si>
  <si>
    <t xml:space="preserve">Akar kuku elang pohon Hangkang, cuaca mendung </t>
  </si>
  <si>
    <t>Rahanjang bawi</t>
  </si>
  <si>
    <t>S</t>
  </si>
  <si>
    <t>Individu bermain dengan Ewat seperti bergulat di pohon Kajalaki</t>
  </si>
  <si>
    <t xml:space="preserve">Individu bermain dengan Ewat seperti kejar - kejaran ke antar pohon </t>
  </si>
  <si>
    <t>Urinasi dan defekasi di pohon Tagula</t>
  </si>
  <si>
    <t>Hangkang</t>
  </si>
  <si>
    <t>Akar kuku elang di pohon Hangkang</t>
  </si>
  <si>
    <t>Lunuk besar</t>
  </si>
  <si>
    <t>Lunuk besar di pohon Hangkang, sulit mengambil feeding rate karena individu berada pada puncak tajuk pohon</t>
  </si>
  <si>
    <t>Papung</t>
  </si>
  <si>
    <t>dg</t>
  </si>
  <si>
    <t>telan semua</t>
  </si>
  <si>
    <t>Urinasi di pohon Meranti daun kecil</t>
  </si>
  <si>
    <t>Tutup kabali</t>
  </si>
  <si>
    <t>Individu bermain dengan Ewat seperti bergulat di pohon Bengaris</t>
  </si>
  <si>
    <t>Rahanjang hatue</t>
  </si>
  <si>
    <t xml:space="preserve">Akar kuku elang di pohon Papung, cuaca mengelap (mendung) dan gerimis </t>
  </si>
  <si>
    <t xml:space="preserve">Akar kuku elang di pohon Kumpang daun lonjong, cuaca menjadi berawan dan gerimis sudah berhenti </t>
  </si>
  <si>
    <t>Serangga</t>
  </si>
  <si>
    <t>ins</t>
  </si>
  <si>
    <t xml:space="preserve"> Inidvidu makan serangga dari balik daun kering Tagula, cuaca cerah berawan </t>
  </si>
  <si>
    <t>Akar kuku elang di pohon Katiau, tidak dapat mengambil feeding rate karena individu berada pada tajuk pohon</t>
  </si>
  <si>
    <t>Nyato undus buah merah</t>
  </si>
  <si>
    <t xml:space="preserve"> Akar kuku elang</t>
  </si>
  <si>
    <t>Akar kuku elang di pohon Meranti daun besar</t>
  </si>
  <si>
    <t>Lewang</t>
  </si>
  <si>
    <t xml:space="preserve">Meranti daun kecil, cuaca lebih berawan </t>
  </si>
  <si>
    <t xml:space="preserve">Individu bermain dengan Ewat di pohon Manggis hutan daun besar </t>
  </si>
  <si>
    <t>Individu bermain dengan Ewat secara bergulat di pohon Lewang, cuaca kembali cerah berawan</t>
  </si>
  <si>
    <t>Meranti daun kecil</t>
  </si>
  <si>
    <t xml:space="preserve">Akar kuku elang </t>
  </si>
  <si>
    <t>bawah</t>
  </si>
  <si>
    <t>Akar kuku elang di pohon Nyato puntik</t>
  </si>
  <si>
    <t>Tagula daun besar</t>
  </si>
  <si>
    <t xml:space="preserve">Akar kuku elang di pohon Nyato undus buah merah </t>
  </si>
  <si>
    <t>Akar kamunda</t>
  </si>
  <si>
    <t>yl</t>
  </si>
  <si>
    <t>Akar kamunda di pohon Papung</t>
  </si>
  <si>
    <t>Manggis hutan daun kecil (Mhdk)</t>
  </si>
  <si>
    <t>Kamehas daun perak</t>
  </si>
  <si>
    <t>Akar kuning</t>
  </si>
  <si>
    <t>Akar kuning di pohon Rambutan hutan</t>
  </si>
  <si>
    <t>Akar kuku elang di pohon Papung,</t>
  </si>
  <si>
    <t>Akar kuku elang di pohon Nyato undus buah merah</t>
  </si>
  <si>
    <t>Akar kuku elang di pohon Papung</t>
  </si>
  <si>
    <t>Akar kuku elang dipohon Tutup kabali</t>
  </si>
  <si>
    <t>Kumpang daun panjang</t>
  </si>
  <si>
    <t>Meranti daun besar</t>
  </si>
  <si>
    <t>Setelah istirahat, individu makan buah Akar kuku elang di pohon Meranti daun besar</t>
  </si>
  <si>
    <t>Kayu lalas, cuaca cerah berawan</t>
  </si>
  <si>
    <t xml:space="preserve">Akar kuku elang di pohon Hangkang, sulit mengambil feeding rate karena individu berada pada tajuk pohon makan </t>
  </si>
  <si>
    <t xml:space="preserve">Pergerakan individu belum terlihat kembali oleh pengamat </t>
  </si>
  <si>
    <t>U</t>
  </si>
  <si>
    <t xml:space="preserve">Pohon tidur sore Ewit di pohon Meranti daun kecil transek KS-650, individu bersaam Rawit di pohon tidur yang sama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</si>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</sst>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11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11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45791.0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0.25069444444444444</v>
      </c>
      <c r="G2" s="6">
        <v>0.25069444444444444</v>
      </c>
      <c r="H2" s="7">
        <v>2.0</v>
      </c>
      <c r="I2" s="6">
        <v>0.250694444444444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106" si="1">IF(J2="F",I2,"")</f>
        <v/>
      </c>
      <c r="R2" s="6" t="str">
        <f t="shared" ref="R2:R104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45791.0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0.25069444444444444</v>
      </c>
      <c r="G3" s="6">
        <v>0.25069444444444444</v>
      </c>
      <c r="H3" s="7">
        <v>2.0</v>
      </c>
      <c r="I3" s="6">
        <v>0.254861111111111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45791.0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0.25069444444444444</v>
      </c>
      <c r="G4" s="6">
        <v>0.25069444444444444</v>
      </c>
      <c r="H4" s="7">
        <v>2.0</v>
      </c>
      <c r="I4" s="6">
        <v>0.259722222222222</v>
      </c>
      <c r="J4" s="6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/>
      <c r="P4" s="5" t="s">
        <v>35</v>
      </c>
      <c r="Q4" s="6">
        <f t="shared" si="1"/>
        <v>0.2597222222</v>
      </c>
      <c r="R4" s="6">
        <f t="shared" si="2"/>
        <v>0.2618055556</v>
      </c>
      <c r="S4" s="6">
        <v>0.2611111111111111</v>
      </c>
      <c r="T4" s="6">
        <v>0.26180555555555557</v>
      </c>
      <c r="U4" s="5">
        <v>12.0</v>
      </c>
      <c r="V4" s="5" t="s">
        <v>36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45791.0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0.25069444444444444</v>
      </c>
      <c r="G5" s="6">
        <v>0.25069444444444444</v>
      </c>
      <c r="H5" s="7">
        <v>2.0</v>
      </c>
      <c r="I5" s="6">
        <v>0.261805555555555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45791.0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0.25069444444444444</v>
      </c>
      <c r="G6" s="6">
        <v>0.25069444444444444</v>
      </c>
      <c r="H6" s="7">
        <v>2.0</v>
      </c>
      <c r="I6" s="6">
        <v>0.263888888888889</v>
      </c>
      <c r="J6" s="6" t="s">
        <v>26</v>
      </c>
      <c r="K6" s="5"/>
      <c r="L6" s="5"/>
      <c r="M6" s="5"/>
      <c r="N6" s="5"/>
      <c r="O6" s="5"/>
      <c r="P6" s="5" t="s">
        <v>35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37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45791.0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0.25069444444444444</v>
      </c>
      <c r="G7" s="6">
        <v>0.25069444444444444</v>
      </c>
      <c r="H7" s="7">
        <v>2.0</v>
      </c>
      <c r="I7" s="6">
        <v>0.265277777777777</v>
      </c>
      <c r="J7" s="6" t="s">
        <v>29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45791.0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0.25069444444444444</v>
      </c>
      <c r="G8" s="6">
        <v>0.25069444444444444</v>
      </c>
      <c r="H8" s="7">
        <v>2.0</v>
      </c>
      <c r="I8" s="6">
        <v>0.265972222222222</v>
      </c>
      <c r="J8" s="6" t="s">
        <v>38</v>
      </c>
      <c r="K8" s="5"/>
      <c r="L8" s="5"/>
      <c r="M8" s="5"/>
      <c r="N8" s="5"/>
      <c r="O8" s="5"/>
      <c r="P8" s="5" t="s">
        <v>27</v>
      </c>
      <c r="Q8" s="6" t="str">
        <f t="shared" si="1"/>
        <v/>
      </c>
      <c r="R8" s="6" t="str">
        <f t="shared" si="2"/>
        <v/>
      </c>
      <c r="S8" s="6"/>
      <c r="T8" s="6"/>
      <c r="U8" s="5"/>
      <c r="V8" s="5" t="s">
        <v>39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45791.0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0.25069444444444444</v>
      </c>
      <c r="G9" s="6">
        <v>0.25069444444444444</v>
      </c>
      <c r="H9" s="7">
        <v>2.0</v>
      </c>
      <c r="I9" s="6">
        <v>0.267361111111111</v>
      </c>
      <c r="J9" s="6" t="s">
        <v>29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2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45791.0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0.25069444444444444</v>
      </c>
      <c r="G10" s="6">
        <v>0.25069444444444444</v>
      </c>
      <c r="H10" s="7">
        <v>2.0</v>
      </c>
      <c r="I10" s="6">
        <v>0.26875</v>
      </c>
      <c r="J10" s="6" t="s">
        <v>38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 t="s">
        <v>40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45791.0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0.25069444444444444</v>
      </c>
      <c r="G11" s="6">
        <v>0.25069444444444444</v>
      </c>
      <c r="H11" s="7">
        <v>2.0</v>
      </c>
      <c r="I11" s="6">
        <v>0.276388888888889</v>
      </c>
      <c r="J11" s="6" t="s">
        <v>26</v>
      </c>
      <c r="K11" s="5"/>
      <c r="L11" s="5"/>
      <c r="M11" s="5"/>
      <c r="N11" s="5"/>
      <c r="O11" s="5"/>
      <c r="P11" s="5" t="s">
        <v>27</v>
      </c>
      <c r="Q11" s="6" t="str">
        <f t="shared" si="1"/>
        <v/>
      </c>
      <c r="R11" s="6" t="str">
        <f t="shared" si="2"/>
        <v/>
      </c>
      <c r="S11" s="6"/>
      <c r="T11" s="6"/>
      <c r="U11" s="5"/>
      <c r="V11" s="5" t="s">
        <v>41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45791.0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0.25069444444444444</v>
      </c>
      <c r="G12" s="6">
        <v>0.25069444444444444</v>
      </c>
      <c r="H12" s="7">
        <v>2.0</v>
      </c>
      <c r="I12" s="6">
        <v>0.277083333333333</v>
      </c>
      <c r="J12" s="6" t="s">
        <v>29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2"/>
        <v/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45791.0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0.25069444444444444</v>
      </c>
      <c r="G13" s="6">
        <v>0.25069444444444444</v>
      </c>
      <c r="H13" s="7">
        <v>2.0</v>
      </c>
      <c r="I13" s="6">
        <v>0.277777777777778</v>
      </c>
      <c r="J13" s="6" t="s">
        <v>26</v>
      </c>
      <c r="K13" s="5"/>
      <c r="L13" s="5"/>
      <c r="M13" s="5"/>
      <c r="N13" s="5"/>
      <c r="O13" s="5"/>
      <c r="P13" s="5" t="s">
        <v>27</v>
      </c>
      <c r="Q13" s="6" t="str">
        <f t="shared" si="1"/>
        <v/>
      </c>
      <c r="R13" s="6" t="str">
        <f t="shared" si="2"/>
        <v/>
      </c>
      <c r="S13" s="6"/>
      <c r="T13" s="6"/>
      <c r="U13" s="5"/>
      <c r="V13" s="5" t="s">
        <v>42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45791.0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0.25069444444444444</v>
      </c>
      <c r="G14" s="6">
        <v>0.25069444444444444</v>
      </c>
      <c r="H14" s="7">
        <v>2.0</v>
      </c>
      <c r="I14" s="6">
        <v>0.279166666666667</v>
      </c>
      <c r="J14" s="6" t="s">
        <v>29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2"/>
        <v/>
      </c>
      <c r="S14" s="6"/>
      <c r="T14" s="6"/>
      <c r="U14" s="5"/>
      <c r="V14" s="5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45791.0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0.25069444444444444</v>
      </c>
      <c r="G15" s="6">
        <v>0.25069444444444444</v>
      </c>
      <c r="H15" s="7">
        <v>1.0</v>
      </c>
      <c r="I15" s="6">
        <v>0.28125</v>
      </c>
      <c r="J15" s="6" t="s">
        <v>26</v>
      </c>
      <c r="K15" s="5"/>
      <c r="L15" s="5"/>
      <c r="M15" s="5"/>
      <c r="N15" s="5"/>
      <c r="O15" s="5"/>
      <c r="P15" s="5" t="s">
        <v>35</v>
      </c>
      <c r="Q15" s="6" t="str">
        <f t="shared" si="1"/>
        <v/>
      </c>
      <c r="R15" s="6" t="str">
        <f t="shared" si="2"/>
        <v/>
      </c>
      <c r="S15" s="6"/>
      <c r="T15" s="6"/>
      <c r="U15" s="5"/>
      <c r="V15" s="5" t="s">
        <v>42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45791.0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0.25069444444444444</v>
      </c>
      <c r="G16" s="6">
        <v>0.25069444444444444</v>
      </c>
      <c r="H16" s="7">
        <v>2.0</v>
      </c>
      <c r="I16" s="6">
        <v>0.284722222222221</v>
      </c>
      <c r="J16" s="6" t="s">
        <v>29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2"/>
        <v/>
      </c>
      <c r="S16" s="6"/>
      <c r="T16" s="6"/>
      <c r="U16" s="5"/>
      <c r="V16" s="5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45791.0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0.25069444444444444</v>
      </c>
      <c r="G17" s="6">
        <v>0.25069444444444444</v>
      </c>
      <c r="H17" s="7">
        <v>2.0</v>
      </c>
      <c r="I17" s="6">
        <v>0.286111111111109</v>
      </c>
      <c r="J17" s="6" t="s">
        <v>30</v>
      </c>
      <c r="K17" s="5" t="s">
        <v>31</v>
      </c>
      <c r="L17" s="5" t="s">
        <v>32</v>
      </c>
      <c r="M17" s="5" t="s">
        <v>33</v>
      </c>
      <c r="N17" s="5" t="s">
        <v>34</v>
      </c>
      <c r="O17" s="5"/>
      <c r="P17" s="5" t="s">
        <v>35</v>
      </c>
      <c r="Q17" s="6">
        <f t="shared" si="1"/>
        <v>0.2861111111</v>
      </c>
      <c r="R17" s="6">
        <f t="shared" si="2"/>
        <v>0.2902777778</v>
      </c>
      <c r="S17" s="6">
        <v>0.28958333333333336</v>
      </c>
      <c r="T17" s="6">
        <v>0.2902777777777778</v>
      </c>
      <c r="U17" s="5">
        <v>16.0</v>
      </c>
      <c r="V17" s="5" t="s">
        <v>43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45791.0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0.25069444444444444</v>
      </c>
      <c r="G18" s="6">
        <v>0.25069444444444444</v>
      </c>
      <c r="H18" s="7">
        <v>2.0</v>
      </c>
      <c r="I18" s="6">
        <v>0.290277777777773</v>
      </c>
      <c r="J18" s="6" t="s">
        <v>29</v>
      </c>
      <c r="K18" s="5"/>
      <c r="L18" s="5"/>
      <c r="M18" s="5"/>
      <c r="N18" s="5"/>
      <c r="O18" s="5"/>
      <c r="P18" s="5"/>
      <c r="Q18" s="6" t="str">
        <f t="shared" si="1"/>
        <v/>
      </c>
      <c r="R18" s="6" t="str">
        <f t="shared" si="2"/>
        <v/>
      </c>
      <c r="S18" s="6"/>
      <c r="T18" s="6"/>
      <c r="U18" s="5"/>
      <c r="V18" s="5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45791.0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0.25069444444444444</v>
      </c>
      <c r="G19" s="6">
        <v>0.25069444444444444</v>
      </c>
      <c r="H19" s="7">
        <v>1.0</v>
      </c>
      <c r="I19" s="6">
        <v>0.297916666666657</v>
      </c>
      <c r="J19" s="6" t="s">
        <v>30</v>
      </c>
      <c r="K19" s="5" t="s">
        <v>44</v>
      </c>
      <c r="L19" s="5" t="s">
        <v>32</v>
      </c>
      <c r="M19" s="5" t="s">
        <v>33</v>
      </c>
      <c r="N19" s="5" t="s">
        <v>34</v>
      </c>
      <c r="O19" s="5"/>
      <c r="P19" s="5" t="s">
        <v>35</v>
      </c>
      <c r="Q19" s="6">
        <f t="shared" si="1"/>
        <v>0.2979166667</v>
      </c>
      <c r="R19" s="6">
        <f t="shared" si="2"/>
        <v>0.3027777778</v>
      </c>
      <c r="S19" s="6"/>
      <c r="T19" s="6"/>
      <c r="U19" s="5"/>
      <c r="V19" s="5" t="s">
        <v>45</v>
      </c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45791.0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0.25069444444444444</v>
      </c>
      <c r="G20" s="6">
        <v>0.25069444444444444</v>
      </c>
      <c r="H20" s="7">
        <v>2.0</v>
      </c>
      <c r="I20" s="6">
        <v>0.302777777777765</v>
      </c>
      <c r="J20" s="6" t="s">
        <v>29</v>
      </c>
      <c r="K20" s="5"/>
      <c r="L20" s="5"/>
      <c r="M20" s="5"/>
      <c r="N20" s="5"/>
      <c r="O20" s="5"/>
      <c r="P20" s="5"/>
      <c r="Q20" s="6" t="str">
        <f t="shared" si="1"/>
        <v/>
      </c>
      <c r="R20" s="6" t="str">
        <f t="shared" si="2"/>
        <v/>
      </c>
      <c r="S20" s="6"/>
      <c r="T20" s="6"/>
      <c r="U20" s="5"/>
      <c r="V20" s="5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45791.0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0.25069444444444444</v>
      </c>
      <c r="G21" s="6">
        <v>0.25069444444444444</v>
      </c>
      <c r="H21" s="7">
        <v>2.0</v>
      </c>
      <c r="I21" s="6">
        <v>0.303472222222209</v>
      </c>
      <c r="J21" s="6" t="s">
        <v>30</v>
      </c>
      <c r="K21" s="5" t="s">
        <v>46</v>
      </c>
      <c r="L21" s="5" t="s">
        <v>32</v>
      </c>
      <c r="M21" s="5" t="s">
        <v>47</v>
      </c>
      <c r="N21" s="5" t="s">
        <v>48</v>
      </c>
      <c r="O21" s="5"/>
      <c r="P21" s="5" t="s">
        <v>27</v>
      </c>
      <c r="Q21" s="6">
        <f t="shared" si="1"/>
        <v>0.3034722222</v>
      </c>
      <c r="R21" s="6">
        <f t="shared" si="2"/>
        <v>0.30625</v>
      </c>
      <c r="S21" s="6">
        <v>0.30416666666666664</v>
      </c>
      <c r="T21" s="6">
        <v>0.30486111111111114</v>
      </c>
      <c r="U21" s="5">
        <v>5.0</v>
      </c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45791.0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0.25069444444444444</v>
      </c>
      <c r="G22" s="6">
        <v>0.25069444444444444</v>
      </c>
      <c r="H22" s="7">
        <v>2.0</v>
      </c>
      <c r="I22" s="6">
        <v>0.306249999999985</v>
      </c>
      <c r="J22" s="6" t="s">
        <v>29</v>
      </c>
      <c r="K22" s="5"/>
      <c r="L22" s="5"/>
      <c r="M22" s="5"/>
      <c r="N22" s="5"/>
      <c r="O22" s="5"/>
      <c r="P22" s="5"/>
      <c r="Q22" s="6" t="str">
        <f t="shared" si="1"/>
        <v/>
      </c>
      <c r="R22" s="6" t="str">
        <f t="shared" si="2"/>
        <v/>
      </c>
      <c r="S22" s="6"/>
      <c r="T22" s="6"/>
      <c r="U22" s="5"/>
      <c r="V22" s="5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45791.0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0.25069444444444444</v>
      </c>
      <c r="G23" s="6">
        <v>0.25069444444444444</v>
      </c>
      <c r="H23" s="7">
        <v>2.0</v>
      </c>
      <c r="I23" s="6">
        <v>0.310416666666649</v>
      </c>
      <c r="J23" s="6" t="s">
        <v>26</v>
      </c>
      <c r="K23" s="5"/>
      <c r="L23" s="5"/>
      <c r="M23" s="5"/>
      <c r="N23" s="5"/>
      <c r="O23" s="5"/>
      <c r="P23" s="5" t="s">
        <v>27</v>
      </c>
      <c r="Q23" s="6" t="str">
        <f t="shared" si="1"/>
        <v/>
      </c>
      <c r="R23" s="6" t="str">
        <f t="shared" si="2"/>
        <v/>
      </c>
      <c r="S23" s="6"/>
      <c r="T23" s="6"/>
      <c r="U23" s="5"/>
      <c r="V23" s="5" t="s">
        <v>49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45791.0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0.25069444444444444</v>
      </c>
      <c r="G24" s="6">
        <v>0.25069444444444444</v>
      </c>
      <c r="H24" s="7">
        <v>2.0</v>
      </c>
      <c r="I24" s="6">
        <v>0.311111111111093</v>
      </c>
      <c r="J24" s="6" t="s">
        <v>29</v>
      </c>
      <c r="K24" s="5"/>
      <c r="L24" s="5"/>
      <c r="M24" s="5"/>
      <c r="N24" s="5"/>
      <c r="O24" s="5"/>
      <c r="P24" s="5"/>
      <c r="Q24" s="6" t="str">
        <f t="shared" si="1"/>
        <v/>
      </c>
      <c r="R24" s="6" t="str">
        <f t="shared" si="2"/>
        <v/>
      </c>
      <c r="S24" s="6"/>
      <c r="T24" s="6"/>
      <c r="U24" s="5"/>
      <c r="V24" s="5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45791.0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0.25069444444444444</v>
      </c>
      <c r="G25" s="6">
        <v>0.25069444444444444</v>
      </c>
      <c r="H25" s="7">
        <v>2.0</v>
      </c>
      <c r="I25" s="6">
        <v>0.318055555555533</v>
      </c>
      <c r="J25" s="6" t="s">
        <v>26</v>
      </c>
      <c r="K25" s="5"/>
      <c r="L25" s="5"/>
      <c r="M25" s="5"/>
      <c r="N25" s="5"/>
      <c r="O25" s="5"/>
      <c r="P25" s="5" t="s">
        <v>35</v>
      </c>
      <c r="Q25" s="6" t="str">
        <f t="shared" si="1"/>
        <v/>
      </c>
      <c r="R25" s="6" t="str">
        <f t="shared" si="2"/>
        <v/>
      </c>
      <c r="S25" s="6"/>
      <c r="T25" s="6"/>
      <c r="U25" s="5"/>
      <c r="V25" s="5" t="s">
        <v>50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45791.0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0.25069444444444444</v>
      </c>
      <c r="G26" s="6">
        <v>0.25069444444444444</v>
      </c>
      <c r="H26" s="7">
        <v>2.0</v>
      </c>
      <c r="I26" s="6">
        <v>0.320138888888865</v>
      </c>
      <c r="J26" s="6" t="s">
        <v>29</v>
      </c>
      <c r="K26" s="5"/>
      <c r="L26" s="5"/>
      <c r="M26" s="5"/>
      <c r="N26" s="5"/>
      <c r="O26" s="5"/>
      <c r="P26" s="5"/>
      <c r="Q26" s="6" t="str">
        <f t="shared" si="1"/>
        <v/>
      </c>
      <c r="R26" s="6" t="str">
        <f t="shared" si="2"/>
        <v/>
      </c>
      <c r="S26" s="6"/>
      <c r="T26" s="6"/>
      <c r="U26" s="5"/>
      <c r="V26" s="5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45791.0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0.25069444444444444</v>
      </c>
      <c r="G27" s="6">
        <v>0.25069444444444444</v>
      </c>
      <c r="H27" s="7">
        <v>2.0</v>
      </c>
      <c r="I27" s="6">
        <v>0.323611111111085</v>
      </c>
      <c r="J27" s="6" t="s">
        <v>38</v>
      </c>
      <c r="K27" s="5"/>
      <c r="L27" s="5"/>
      <c r="M27" s="5"/>
      <c r="N27" s="5"/>
      <c r="O27" s="5"/>
      <c r="P27" s="5" t="s">
        <v>35</v>
      </c>
      <c r="Q27" s="6" t="str">
        <f t="shared" si="1"/>
        <v/>
      </c>
      <c r="R27" s="6" t="str">
        <f t="shared" si="2"/>
        <v/>
      </c>
      <c r="S27" s="6"/>
      <c r="T27" s="6"/>
      <c r="U27" s="5"/>
      <c r="V27" s="5" t="s">
        <v>51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45791.0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0.25069444444444444</v>
      </c>
      <c r="G28" s="6">
        <v>0.25069444444444444</v>
      </c>
      <c r="H28" s="7">
        <v>2.0</v>
      </c>
      <c r="I28" s="6">
        <v>0.328472222222193</v>
      </c>
      <c r="J28" s="6" t="s">
        <v>29</v>
      </c>
      <c r="K28" s="5"/>
      <c r="L28" s="5"/>
      <c r="M28" s="5"/>
      <c r="N28" s="5"/>
      <c r="O28" s="5"/>
      <c r="P28" s="5"/>
      <c r="Q28" s="6" t="str">
        <f t="shared" si="1"/>
        <v/>
      </c>
      <c r="R28" s="6" t="str">
        <f t="shared" si="2"/>
        <v/>
      </c>
      <c r="S28" s="6"/>
      <c r="T28" s="6"/>
      <c r="U28" s="5"/>
      <c r="V28" s="5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45791.0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0.25069444444444444</v>
      </c>
      <c r="G29" s="6">
        <v>0.25069444444444444</v>
      </c>
      <c r="H29" s="7">
        <v>2.0</v>
      </c>
      <c r="I29" s="6">
        <v>0.335416666666633</v>
      </c>
      <c r="J29" s="6" t="s">
        <v>26</v>
      </c>
      <c r="K29" s="5"/>
      <c r="L29" s="5"/>
      <c r="M29" s="5"/>
      <c r="N29" s="5"/>
      <c r="O29" s="5"/>
      <c r="P29" s="5" t="s">
        <v>35</v>
      </c>
      <c r="Q29" s="6" t="str">
        <f t="shared" si="1"/>
        <v/>
      </c>
      <c r="R29" s="6" t="str">
        <f t="shared" si="2"/>
        <v/>
      </c>
      <c r="S29" s="6"/>
      <c r="T29" s="6"/>
      <c r="U29" s="5"/>
      <c r="V29" s="5" t="s">
        <v>52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45791.0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0.25069444444444444</v>
      </c>
      <c r="G30" s="6">
        <v>0.25069444444444444</v>
      </c>
      <c r="H30" s="7">
        <v>2.0</v>
      </c>
      <c r="I30" s="6">
        <v>0.338888888888853</v>
      </c>
      <c r="J30" s="6" t="s">
        <v>29</v>
      </c>
      <c r="K30" s="5"/>
      <c r="L30" s="5"/>
      <c r="M30" s="5"/>
      <c r="N30" s="5"/>
      <c r="O30" s="5"/>
      <c r="P30" s="5"/>
      <c r="Q30" s="6" t="str">
        <f t="shared" si="1"/>
        <v/>
      </c>
      <c r="R30" s="6" t="str">
        <f t="shared" si="2"/>
        <v/>
      </c>
      <c r="S30" s="6"/>
      <c r="T30" s="6"/>
      <c r="U30" s="5"/>
      <c r="V30" s="5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45791.0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0.25069444444444444</v>
      </c>
      <c r="G31" s="6">
        <v>0.25069444444444444</v>
      </c>
      <c r="H31" s="7">
        <v>2.0</v>
      </c>
      <c r="I31" s="6">
        <v>0.344444444444405</v>
      </c>
      <c r="J31" s="6" t="s">
        <v>26</v>
      </c>
      <c r="K31" s="5"/>
      <c r="L31" s="5"/>
      <c r="M31" s="5"/>
      <c r="N31" s="5"/>
      <c r="O31" s="5"/>
      <c r="P31" s="5" t="s">
        <v>27</v>
      </c>
      <c r="Q31" s="6" t="str">
        <f t="shared" si="1"/>
        <v/>
      </c>
      <c r="R31" s="6" t="str">
        <f t="shared" si="2"/>
        <v/>
      </c>
      <c r="S31" s="6"/>
      <c r="T31" s="6"/>
      <c r="U31" s="5"/>
      <c r="V31" s="5" t="s">
        <v>42</v>
      </c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45791.0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0.25069444444444444</v>
      </c>
      <c r="G32" s="6">
        <v>0.25069444444444444</v>
      </c>
      <c r="H32" s="7">
        <v>2.0</v>
      </c>
      <c r="I32" s="6">
        <v>0.347222222222181</v>
      </c>
      <c r="J32" s="6" t="s">
        <v>29</v>
      </c>
      <c r="K32" s="5"/>
      <c r="L32" s="5"/>
      <c r="M32" s="5"/>
      <c r="N32" s="5"/>
      <c r="O32" s="5"/>
      <c r="P32" s="5"/>
      <c r="Q32" s="6" t="str">
        <f t="shared" si="1"/>
        <v/>
      </c>
      <c r="R32" s="6" t="str">
        <f t="shared" si="2"/>
        <v/>
      </c>
      <c r="S32" s="6"/>
      <c r="T32" s="6"/>
      <c r="U32" s="5"/>
      <c r="V32" s="5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45791.0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0.25069444444444444</v>
      </c>
      <c r="G33" s="6">
        <v>0.25069444444444444</v>
      </c>
      <c r="H33" s="7">
        <v>1.0</v>
      </c>
      <c r="I33" s="6">
        <v>0.358333333333285</v>
      </c>
      <c r="J33" s="6" t="s">
        <v>30</v>
      </c>
      <c r="K33" s="5" t="s">
        <v>31</v>
      </c>
      <c r="L33" s="5" t="s">
        <v>32</v>
      </c>
      <c r="M33" s="5" t="s">
        <v>33</v>
      </c>
      <c r="N33" s="5" t="s">
        <v>34</v>
      </c>
      <c r="O33" s="5"/>
      <c r="P33" s="5" t="s">
        <v>35</v>
      </c>
      <c r="Q33" s="6">
        <f t="shared" si="1"/>
        <v>0.3583333333</v>
      </c>
      <c r="R33" s="6">
        <f t="shared" si="2"/>
        <v>0.3618055556</v>
      </c>
      <c r="S33" s="6"/>
      <c r="T33" s="6"/>
      <c r="U33" s="5"/>
      <c r="V33" s="5" t="s">
        <v>53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45791.0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0.25069444444444444</v>
      </c>
      <c r="G34" s="6">
        <v>0.25069444444444444</v>
      </c>
      <c r="H34" s="7">
        <v>2.0</v>
      </c>
      <c r="I34" s="6">
        <v>0.361805555555505</v>
      </c>
      <c r="J34" s="6" t="s">
        <v>29</v>
      </c>
      <c r="K34" s="5"/>
      <c r="L34" s="5"/>
      <c r="M34" s="5"/>
      <c r="N34" s="5"/>
      <c r="O34" s="5"/>
      <c r="P34" s="5"/>
      <c r="Q34" s="6" t="str">
        <f t="shared" si="1"/>
        <v/>
      </c>
      <c r="R34" s="6" t="str">
        <f t="shared" si="2"/>
        <v/>
      </c>
      <c r="S34" s="6"/>
      <c r="T34" s="6"/>
      <c r="U34" s="5"/>
      <c r="V34" s="5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45791.0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0.25069444444444444</v>
      </c>
      <c r="G35" s="6">
        <v>0.25069444444444444</v>
      </c>
      <c r="H35" s="7">
        <v>2.0</v>
      </c>
      <c r="I35" s="6">
        <v>0.370833333333277</v>
      </c>
      <c r="J35" s="6" t="s">
        <v>30</v>
      </c>
      <c r="K35" s="5" t="s">
        <v>31</v>
      </c>
      <c r="L35" s="5" t="s">
        <v>32</v>
      </c>
      <c r="M35" s="5" t="s">
        <v>33</v>
      </c>
      <c r="N35" s="5" t="s">
        <v>34</v>
      </c>
      <c r="O35" s="5"/>
      <c r="P35" s="5" t="s">
        <v>35</v>
      </c>
      <c r="Q35" s="6">
        <f t="shared" si="1"/>
        <v>0.3708333333</v>
      </c>
      <c r="R35" s="6">
        <f t="shared" si="2"/>
        <v>0.3777777778</v>
      </c>
      <c r="S35" s="6">
        <v>0.3736111111111111</v>
      </c>
      <c r="T35" s="6">
        <v>0.37430555555555556</v>
      </c>
      <c r="U35" s="5">
        <v>6.0</v>
      </c>
      <c r="V35" s="5" t="s">
        <v>54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45791.0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0.25069444444444444</v>
      </c>
      <c r="G36" s="6">
        <v>0.25069444444444444</v>
      </c>
      <c r="H36" s="7">
        <v>2.0</v>
      </c>
      <c r="I36" s="6">
        <v>0.377777777777717</v>
      </c>
      <c r="J36" s="6" t="s">
        <v>29</v>
      </c>
      <c r="K36" s="5"/>
      <c r="L36" s="5"/>
      <c r="M36" s="5"/>
      <c r="N36" s="5"/>
      <c r="O36" s="5"/>
      <c r="P36" s="5"/>
      <c r="Q36" s="6" t="str">
        <f t="shared" si="1"/>
        <v/>
      </c>
      <c r="R36" s="6" t="str">
        <f t="shared" si="2"/>
        <v/>
      </c>
      <c r="S36" s="6"/>
      <c r="T36" s="6"/>
      <c r="U36" s="5"/>
      <c r="V36" s="5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45791.0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0.25069444444444444</v>
      </c>
      <c r="G37" s="6">
        <v>0.25069444444444444</v>
      </c>
      <c r="H37" s="7">
        <v>2.0</v>
      </c>
      <c r="I37" s="6">
        <v>0.383333333333269</v>
      </c>
      <c r="J37" s="6" t="s">
        <v>30</v>
      </c>
      <c r="K37" s="5" t="s">
        <v>55</v>
      </c>
      <c r="L37" s="5" t="s">
        <v>56</v>
      </c>
      <c r="M37" s="5"/>
      <c r="N37" s="5"/>
      <c r="O37" s="5"/>
      <c r="P37" s="5" t="s">
        <v>35</v>
      </c>
      <c r="Q37" s="6">
        <f t="shared" si="1"/>
        <v>0.3833333333</v>
      </c>
      <c r="R37" s="6">
        <f t="shared" si="2"/>
        <v>0.3854166667</v>
      </c>
      <c r="S37" s="6">
        <v>0.3840277777777778</v>
      </c>
      <c r="T37" s="6">
        <v>0.38472222222222224</v>
      </c>
      <c r="U37" s="5">
        <v>2.0</v>
      </c>
      <c r="V37" s="5" t="s">
        <v>57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45791.0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0.25069444444444444</v>
      </c>
      <c r="G38" s="6">
        <v>0.25069444444444444</v>
      </c>
      <c r="H38" s="7">
        <v>2.0</v>
      </c>
      <c r="I38" s="6">
        <v>0.385416666666601</v>
      </c>
      <c r="J38" s="6" t="s">
        <v>29</v>
      </c>
      <c r="K38" s="5"/>
      <c r="L38" s="5"/>
      <c r="M38" s="5"/>
      <c r="N38" s="5"/>
      <c r="O38" s="5"/>
      <c r="P38" s="5"/>
      <c r="Q38" s="6" t="str">
        <f t="shared" si="1"/>
        <v/>
      </c>
      <c r="R38" s="6" t="str">
        <f t="shared" si="2"/>
        <v/>
      </c>
      <c r="S38" s="6"/>
      <c r="T38" s="6"/>
      <c r="U38" s="5"/>
      <c r="V38" s="5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45791.0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0.25069444444444444</v>
      </c>
      <c r="G39" s="6">
        <v>0.25069444444444444</v>
      </c>
      <c r="H39" s="7">
        <v>2.0</v>
      </c>
      <c r="I39" s="6">
        <v>0.390972222222153</v>
      </c>
      <c r="J39" s="6" t="s">
        <v>26</v>
      </c>
      <c r="K39" s="5"/>
      <c r="L39" s="5"/>
      <c r="M39" s="5"/>
      <c r="N39" s="5"/>
      <c r="O39" s="5"/>
      <c r="P39" s="5" t="s">
        <v>35</v>
      </c>
      <c r="Q39" s="6" t="str">
        <f t="shared" si="1"/>
        <v/>
      </c>
      <c r="R39" s="6" t="str">
        <f t="shared" si="2"/>
        <v/>
      </c>
      <c r="S39" s="6"/>
      <c r="T39" s="6"/>
      <c r="U39" s="5"/>
      <c r="V39" s="5" t="s">
        <v>42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45791.0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0.25069444444444444</v>
      </c>
      <c r="G40" s="6">
        <v>0.25069444444444444</v>
      </c>
      <c r="H40" s="7">
        <v>2.0</v>
      </c>
      <c r="I40" s="6">
        <v>0.396527777777705</v>
      </c>
      <c r="J40" s="6" t="s">
        <v>29</v>
      </c>
      <c r="K40" s="5"/>
      <c r="L40" s="5"/>
      <c r="M40" s="5"/>
      <c r="N40" s="5"/>
      <c r="O40" s="5"/>
      <c r="P40" s="5"/>
      <c r="Q40" s="6" t="str">
        <f t="shared" si="1"/>
        <v/>
      </c>
      <c r="R40" s="6" t="str">
        <f t="shared" si="2"/>
        <v/>
      </c>
      <c r="S40" s="6"/>
      <c r="T40" s="6"/>
      <c r="U40" s="5"/>
      <c r="V40" s="5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45791.0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0.25069444444444444</v>
      </c>
      <c r="G41" s="6">
        <v>0.25069444444444444</v>
      </c>
      <c r="H41" s="7">
        <v>2.0</v>
      </c>
      <c r="I41" s="6">
        <v>0.401388888888813</v>
      </c>
      <c r="J41" s="6" t="s">
        <v>26</v>
      </c>
      <c r="K41" s="5"/>
      <c r="L41" s="5"/>
      <c r="M41" s="5"/>
      <c r="N41" s="5"/>
      <c r="O41" s="5"/>
      <c r="P41" s="5" t="s">
        <v>27</v>
      </c>
      <c r="Q41" s="6" t="str">
        <f t="shared" si="1"/>
        <v/>
      </c>
      <c r="R41" s="6" t="str">
        <f t="shared" si="2"/>
        <v/>
      </c>
      <c r="S41" s="6"/>
      <c r="T41" s="6"/>
      <c r="U41" s="5"/>
      <c r="V41" s="5" t="s">
        <v>42</v>
      </c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45791.0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0.25069444444444444</v>
      </c>
      <c r="G42" s="6">
        <v>0.25069444444444444</v>
      </c>
      <c r="H42" s="7">
        <v>2.0</v>
      </c>
      <c r="I42" s="6">
        <v>0.403472222222145</v>
      </c>
      <c r="J42" s="6" t="s">
        <v>29</v>
      </c>
      <c r="K42" s="5"/>
      <c r="L42" s="5"/>
      <c r="M42" s="5"/>
      <c r="N42" s="5"/>
      <c r="O42" s="5"/>
      <c r="P42" s="5"/>
      <c r="Q42" s="6" t="str">
        <f t="shared" si="1"/>
        <v/>
      </c>
      <c r="R42" s="6" t="str">
        <f t="shared" si="2"/>
        <v/>
      </c>
      <c r="S42" s="6"/>
      <c r="T42" s="6"/>
      <c r="U42" s="5"/>
      <c r="V42" s="5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45791.0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0.25069444444444444</v>
      </c>
      <c r="G43" s="6">
        <v>0.25069444444444444</v>
      </c>
      <c r="H43" s="7">
        <v>1.0</v>
      </c>
      <c r="I43" s="6">
        <v>0.404861111111033</v>
      </c>
      <c r="J43" s="6" t="s">
        <v>30</v>
      </c>
      <c r="K43" s="5" t="s">
        <v>31</v>
      </c>
      <c r="L43" s="5" t="s">
        <v>32</v>
      </c>
      <c r="M43" s="5" t="s">
        <v>33</v>
      </c>
      <c r="N43" s="5" t="s">
        <v>34</v>
      </c>
      <c r="O43" s="5"/>
      <c r="P43" s="5" t="s">
        <v>35</v>
      </c>
      <c r="Q43" s="6">
        <f t="shared" si="1"/>
        <v>0.4048611111</v>
      </c>
      <c r="R43" s="6">
        <f t="shared" si="2"/>
        <v>0.4097222222</v>
      </c>
      <c r="S43" s="6"/>
      <c r="T43" s="6"/>
      <c r="U43" s="5"/>
      <c r="V43" s="5" t="s">
        <v>58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45791.0</v>
      </c>
      <c r="B44" s="4" t="s">
        <v>22</v>
      </c>
      <c r="C44" s="4" t="s">
        <v>23</v>
      </c>
      <c r="D44" s="4" t="s">
        <v>24</v>
      </c>
      <c r="E44" s="5" t="s">
        <v>25</v>
      </c>
      <c r="F44" s="6">
        <v>0.25069444444444444</v>
      </c>
      <c r="G44" s="6">
        <v>0.25069444444444444</v>
      </c>
      <c r="H44" s="7">
        <v>2.0</v>
      </c>
      <c r="I44" s="6">
        <v>0.409722222222141</v>
      </c>
      <c r="J44" s="6" t="s">
        <v>29</v>
      </c>
      <c r="K44" s="5"/>
      <c r="L44" s="5"/>
      <c r="M44" s="5"/>
      <c r="N44" s="5"/>
      <c r="O44" s="5"/>
      <c r="P44" s="5"/>
      <c r="Q44" s="6" t="str">
        <f t="shared" si="1"/>
        <v/>
      </c>
      <c r="R44" s="6" t="str">
        <f t="shared" si="2"/>
        <v/>
      </c>
      <c r="S44" s="6"/>
      <c r="T44" s="6"/>
      <c r="U44" s="5"/>
      <c r="V44" s="5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45791.0</v>
      </c>
      <c r="B45" s="4" t="s">
        <v>22</v>
      </c>
      <c r="C45" s="4" t="s">
        <v>23</v>
      </c>
      <c r="D45" s="4" t="s">
        <v>24</v>
      </c>
      <c r="E45" s="5" t="s">
        <v>25</v>
      </c>
      <c r="F45" s="6">
        <v>0.25069444444444444</v>
      </c>
      <c r="G45" s="6">
        <v>0.25069444444444444</v>
      </c>
      <c r="H45" s="7">
        <v>1.0</v>
      </c>
      <c r="I45" s="6">
        <v>0.411111111111029</v>
      </c>
      <c r="J45" s="6" t="s">
        <v>26</v>
      </c>
      <c r="K45" s="5"/>
      <c r="L45" s="5"/>
      <c r="M45" s="5"/>
      <c r="N45" s="5"/>
      <c r="O45" s="5"/>
      <c r="P45" s="5" t="s">
        <v>35</v>
      </c>
      <c r="Q45" s="6" t="str">
        <f t="shared" si="1"/>
        <v/>
      </c>
      <c r="R45" s="6" t="str">
        <f t="shared" si="2"/>
        <v/>
      </c>
      <c r="S45" s="6"/>
      <c r="T45" s="6"/>
      <c r="U45" s="5"/>
      <c r="V45" s="5" t="s">
        <v>50</v>
      </c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45791.0</v>
      </c>
      <c r="B46" s="4" t="s">
        <v>22</v>
      </c>
      <c r="C46" s="4" t="s">
        <v>23</v>
      </c>
      <c r="D46" s="4" t="s">
        <v>24</v>
      </c>
      <c r="E46" s="5" t="s">
        <v>25</v>
      </c>
      <c r="F46" s="6">
        <v>0.25069444444444444</v>
      </c>
      <c r="G46" s="6">
        <v>0.25069444444444444</v>
      </c>
      <c r="H46" s="7">
        <v>2.0</v>
      </c>
      <c r="I46" s="6">
        <v>0.418055555555469</v>
      </c>
      <c r="J46" s="6" t="s">
        <v>29</v>
      </c>
      <c r="K46" s="5"/>
      <c r="L46" s="5"/>
      <c r="M46" s="5"/>
      <c r="N46" s="5"/>
      <c r="O46" s="5"/>
      <c r="P46" s="5"/>
      <c r="Q46" s="6" t="str">
        <f t="shared" si="1"/>
        <v/>
      </c>
      <c r="R46" s="6" t="str">
        <f t="shared" si="2"/>
        <v/>
      </c>
      <c r="S46" s="6"/>
      <c r="T46" s="6"/>
      <c r="U46" s="5"/>
      <c r="V46" s="5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45791.0</v>
      </c>
      <c r="B47" s="4" t="s">
        <v>22</v>
      </c>
      <c r="C47" s="4" t="s">
        <v>23</v>
      </c>
      <c r="D47" s="4" t="s">
        <v>24</v>
      </c>
      <c r="E47" s="5" t="s">
        <v>25</v>
      </c>
      <c r="F47" s="6">
        <v>0.25069444444444444</v>
      </c>
      <c r="G47" s="6">
        <v>0.25069444444444444</v>
      </c>
      <c r="H47" s="7">
        <v>2.0</v>
      </c>
      <c r="I47" s="6">
        <v>0.421527777777689</v>
      </c>
      <c r="J47" s="6" t="s">
        <v>26</v>
      </c>
      <c r="K47" s="5"/>
      <c r="L47" s="5"/>
      <c r="M47" s="5"/>
      <c r="N47" s="5"/>
      <c r="O47" s="5"/>
      <c r="P47" s="5" t="s">
        <v>27</v>
      </c>
      <c r="Q47" s="6" t="str">
        <f t="shared" si="1"/>
        <v/>
      </c>
      <c r="R47" s="6" t="str">
        <f t="shared" si="2"/>
        <v/>
      </c>
      <c r="S47" s="6"/>
      <c r="T47" s="6"/>
      <c r="U47" s="5"/>
      <c r="V47" s="5" t="s">
        <v>50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45791.0</v>
      </c>
      <c r="B48" s="4" t="s">
        <v>22</v>
      </c>
      <c r="C48" s="4" t="s">
        <v>23</v>
      </c>
      <c r="D48" s="4" t="s">
        <v>24</v>
      </c>
      <c r="E48" s="5" t="s">
        <v>25</v>
      </c>
      <c r="F48" s="6">
        <v>0.25069444444444444</v>
      </c>
      <c r="G48" s="6">
        <v>0.25069444444444444</v>
      </c>
      <c r="H48" s="7">
        <v>2.0</v>
      </c>
      <c r="I48" s="6">
        <v>0.422916666666577</v>
      </c>
      <c r="J48" s="6" t="s">
        <v>29</v>
      </c>
      <c r="K48" s="5"/>
      <c r="L48" s="5"/>
      <c r="M48" s="5"/>
      <c r="N48" s="5"/>
      <c r="O48" s="5"/>
      <c r="P48" s="5"/>
      <c r="Q48" s="6" t="str">
        <f t="shared" si="1"/>
        <v/>
      </c>
      <c r="R48" s="6" t="str">
        <f t="shared" si="2"/>
        <v/>
      </c>
      <c r="S48" s="6"/>
      <c r="T48" s="6"/>
      <c r="U48" s="5"/>
      <c r="V48" s="5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45791.0</v>
      </c>
      <c r="B49" s="4" t="s">
        <v>22</v>
      </c>
      <c r="C49" s="4" t="s">
        <v>23</v>
      </c>
      <c r="D49" s="4" t="s">
        <v>24</v>
      </c>
      <c r="E49" s="5" t="s">
        <v>25</v>
      </c>
      <c r="F49" s="6">
        <v>0.25069444444444444</v>
      </c>
      <c r="G49" s="6">
        <v>0.25069444444444444</v>
      </c>
      <c r="H49" s="7">
        <v>2.0</v>
      </c>
      <c r="I49" s="6">
        <v>0.424305555555465</v>
      </c>
      <c r="J49" s="6" t="s">
        <v>26</v>
      </c>
      <c r="K49" s="5"/>
      <c r="L49" s="5"/>
      <c r="M49" s="5"/>
      <c r="N49" s="5"/>
      <c r="O49" s="5"/>
      <c r="P49" s="5" t="s">
        <v>35</v>
      </c>
      <c r="Q49" s="6" t="str">
        <f t="shared" si="1"/>
        <v/>
      </c>
      <c r="R49" s="6" t="str">
        <f t="shared" si="2"/>
        <v/>
      </c>
      <c r="S49" s="6"/>
      <c r="T49" s="6"/>
      <c r="U49" s="5"/>
      <c r="V49" s="5" t="s">
        <v>59</v>
      </c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45791.0</v>
      </c>
      <c r="B50" s="4" t="s">
        <v>22</v>
      </c>
      <c r="C50" s="4" t="s">
        <v>23</v>
      </c>
      <c r="D50" s="4" t="s">
        <v>24</v>
      </c>
      <c r="E50" s="5" t="s">
        <v>25</v>
      </c>
      <c r="F50" s="6">
        <v>0.25069444444444444</v>
      </c>
      <c r="G50" s="6">
        <v>0.25069444444444444</v>
      </c>
      <c r="H50" s="7">
        <v>2.0</v>
      </c>
      <c r="I50" s="6">
        <v>0.427777777777685</v>
      </c>
      <c r="J50" s="6" t="s">
        <v>29</v>
      </c>
      <c r="K50" s="5"/>
      <c r="L50" s="5"/>
      <c r="M50" s="5"/>
      <c r="N50" s="5"/>
      <c r="O50" s="5"/>
      <c r="P50" s="5"/>
      <c r="Q50" s="6" t="str">
        <f t="shared" si="1"/>
        <v/>
      </c>
      <c r="R50" s="6" t="str">
        <f t="shared" si="2"/>
        <v/>
      </c>
      <c r="S50" s="6"/>
      <c r="T50" s="6"/>
      <c r="U50" s="5"/>
      <c r="V50" s="5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45791.0</v>
      </c>
      <c r="B51" s="4" t="s">
        <v>22</v>
      </c>
      <c r="C51" s="4" t="s">
        <v>23</v>
      </c>
      <c r="D51" s="4" t="s">
        <v>24</v>
      </c>
      <c r="E51" s="5" t="s">
        <v>25</v>
      </c>
      <c r="F51" s="6">
        <v>0.25069444444444444</v>
      </c>
      <c r="G51" s="6">
        <v>0.25069444444444444</v>
      </c>
      <c r="H51" s="7">
        <v>2.0</v>
      </c>
      <c r="I51" s="6">
        <v>0.432638888888793</v>
      </c>
      <c r="J51" s="6" t="s">
        <v>30</v>
      </c>
      <c r="K51" s="5" t="s">
        <v>60</v>
      </c>
      <c r="L51" s="5" t="s">
        <v>32</v>
      </c>
      <c r="M51" s="5" t="s">
        <v>33</v>
      </c>
      <c r="N51" s="5" t="s">
        <v>34</v>
      </c>
      <c r="O51" s="5"/>
      <c r="P51" s="5" t="s">
        <v>35</v>
      </c>
      <c r="Q51" s="6">
        <f t="shared" si="1"/>
        <v>0.4326388889</v>
      </c>
      <c r="R51" s="6">
        <f t="shared" si="2"/>
        <v>0.4430555556</v>
      </c>
      <c r="S51" s="6">
        <v>0.43819444444444444</v>
      </c>
      <c r="T51" s="6">
        <v>0.4388888888888889</v>
      </c>
      <c r="U51" s="5">
        <v>18.0</v>
      </c>
      <c r="V51" s="5" t="s">
        <v>61</v>
      </c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45791.0</v>
      </c>
      <c r="B52" s="4" t="s">
        <v>22</v>
      </c>
      <c r="C52" s="4" t="s">
        <v>23</v>
      </c>
      <c r="D52" s="4" t="s">
        <v>24</v>
      </c>
      <c r="E52" s="5" t="s">
        <v>25</v>
      </c>
      <c r="F52" s="6">
        <v>0.25069444444444444</v>
      </c>
      <c r="G52" s="6">
        <v>0.25069444444444444</v>
      </c>
      <c r="H52" s="7">
        <v>2.0</v>
      </c>
      <c r="I52" s="6">
        <v>0.443055555555453</v>
      </c>
      <c r="J52" s="6" t="s">
        <v>29</v>
      </c>
      <c r="K52" s="5"/>
      <c r="L52" s="5"/>
      <c r="M52" s="5"/>
      <c r="N52" s="5"/>
      <c r="O52" s="5"/>
      <c r="P52" s="5"/>
      <c r="Q52" s="6" t="str">
        <f t="shared" si="1"/>
        <v/>
      </c>
      <c r="R52" s="6" t="str">
        <f t="shared" si="2"/>
        <v/>
      </c>
      <c r="S52" s="6"/>
      <c r="T52" s="6"/>
      <c r="U52" s="5"/>
      <c r="V52" s="5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45791.0</v>
      </c>
      <c r="B53" s="4" t="s">
        <v>22</v>
      </c>
      <c r="C53" s="4" t="s">
        <v>23</v>
      </c>
      <c r="D53" s="4" t="s">
        <v>24</v>
      </c>
      <c r="E53" s="5" t="s">
        <v>25</v>
      </c>
      <c r="F53" s="6">
        <v>0.25069444444444444</v>
      </c>
      <c r="G53" s="6">
        <v>0.25069444444444444</v>
      </c>
      <c r="H53" s="7">
        <v>2.0</v>
      </c>
      <c r="I53" s="6">
        <v>0.445833333333229</v>
      </c>
      <c r="J53" s="6" t="s">
        <v>26</v>
      </c>
      <c r="K53" s="5"/>
      <c r="L53" s="5"/>
      <c r="M53" s="5"/>
      <c r="N53" s="5"/>
      <c r="O53" s="5"/>
      <c r="P53" s="5" t="s">
        <v>27</v>
      </c>
      <c r="Q53" s="6" t="str">
        <f t="shared" si="1"/>
        <v/>
      </c>
      <c r="R53" s="6" t="str">
        <f t="shared" si="2"/>
        <v/>
      </c>
      <c r="S53" s="6"/>
      <c r="T53" s="6"/>
      <c r="U53" s="5"/>
      <c r="V53" s="5" t="s">
        <v>62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45791.0</v>
      </c>
      <c r="B54" s="4" t="s">
        <v>22</v>
      </c>
      <c r="C54" s="4" t="s">
        <v>23</v>
      </c>
      <c r="D54" s="4" t="s">
        <v>24</v>
      </c>
      <c r="E54" s="5" t="s">
        <v>25</v>
      </c>
      <c r="F54" s="6">
        <v>0.25069444444444444</v>
      </c>
      <c r="G54" s="6">
        <v>0.25069444444444444</v>
      </c>
      <c r="H54" s="7">
        <v>2.0</v>
      </c>
      <c r="I54" s="6">
        <v>0.452083333333225</v>
      </c>
      <c r="J54" s="6" t="s">
        <v>29</v>
      </c>
      <c r="K54" s="5"/>
      <c r="L54" s="5"/>
      <c r="M54" s="5"/>
      <c r="N54" s="5"/>
      <c r="O54" s="5"/>
      <c r="P54" s="5"/>
      <c r="Q54" s="6" t="str">
        <f t="shared" si="1"/>
        <v/>
      </c>
      <c r="R54" s="6" t="str">
        <f t="shared" si="2"/>
        <v/>
      </c>
      <c r="S54" s="6"/>
      <c r="T54" s="6"/>
      <c r="U54" s="5"/>
      <c r="V54" s="5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45791.0</v>
      </c>
      <c r="B55" s="4" t="s">
        <v>22</v>
      </c>
      <c r="C55" s="4" t="s">
        <v>23</v>
      </c>
      <c r="D55" s="4" t="s">
        <v>24</v>
      </c>
      <c r="E55" s="5" t="s">
        <v>25</v>
      </c>
      <c r="F55" s="6">
        <v>0.25069444444444444</v>
      </c>
      <c r="G55" s="6">
        <v>0.25069444444444444</v>
      </c>
      <c r="H55" s="7">
        <v>2.0</v>
      </c>
      <c r="I55" s="6">
        <v>0.454861111111001</v>
      </c>
      <c r="J55" s="6" t="s">
        <v>26</v>
      </c>
      <c r="K55" s="5"/>
      <c r="L55" s="5"/>
      <c r="M55" s="5"/>
      <c r="N55" s="5"/>
      <c r="O55" s="5"/>
      <c r="P55" s="5" t="s">
        <v>27</v>
      </c>
      <c r="Q55" s="6" t="str">
        <f t="shared" si="1"/>
        <v/>
      </c>
      <c r="R55" s="6" t="str">
        <f t="shared" si="2"/>
        <v/>
      </c>
      <c r="S55" s="6"/>
      <c r="T55" s="6"/>
      <c r="U55" s="5"/>
      <c r="V55" s="5" t="s">
        <v>63</v>
      </c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45791.0</v>
      </c>
      <c r="B56" s="4" t="s">
        <v>22</v>
      </c>
      <c r="C56" s="4" t="s">
        <v>23</v>
      </c>
      <c r="D56" s="4" t="s">
        <v>24</v>
      </c>
      <c r="E56" s="5" t="s">
        <v>25</v>
      </c>
      <c r="F56" s="6">
        <v>0.25069444444444444</v>
      </c>
      <c r="G56" s="6">
        <v>0.25069444444444444</v>
      </c>
      <c r="H56" s="7">
        <v>2.0</v>
      </c>
      <c r="I56" s="6">
        <v>0.456944444444333</v>
      </c>
      <c r="J56" s="6" t="s">
        <v>29</v>
      </c>
      <c r="K56" s="5"/>
      <c r="L56" s="5"/>
      <c r="M56" s="5"/>
      <c r="N56" s="5"/>
      <c r="O56" s="5"/>
      <c r="P56" s="5"/>
      <c r="Q56" s="6" t="str">
        <f t="shared" si="1"/>
        <v/>
      </c>
      <c r="R56" s="6" t="str">
        <f t="shared" si="2"/>
        <v/>
      </c>
      <c r="S56" s="6"/>
      <c r="T56" s="6"/>
      <c r="U56" s="5"/>
      <c r="V56" s="5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45791.0</v>
      </c>
      <c r="B57" s="4" t="s">
        <v>22</v>
      </c>
      <c r="C57" s="4" t="s">
        <v>23</v>
      </c>
      <c r="D57" s="4" t="s">
        <v>24</v>
      </c>
      <c r="E57" s="5" t="s">
        <v>25</v>
      </c>
      <c r="F57" s="6">
        <v>0.25069444444444444</v>
      </c>
      <c r="G57" s="6">
        <v>0.25069444444444444</v>
      </c>
      <c r="H57" s="7">
        <v>2.0</v>
      </c>
      <c r="I57" s="6">
        <v>0.459722222222109</v>
      </c>
      <c r="J57" s="6" t="s">
        <v>38</v>
      </c>
      <c r="K57" s="5"/>
      <c r="L57" s="5"/>
      <c r="M57" s="5"/>
      <c r="N57" s="5"/>
      <c r="O57" s="5"/>
      <c r="P57" s="5" t="s">
        <v>27</v>
      </c>
      <c r="Q57" s="6" t="str">
        <f t="shared" si="1"/>
        <v/>
      </c>
      <c r="R57" s="6" t="str">
        <f t="shared" si="2"/>
        <v/>
      </c>
      <c r="S57" s="6"/>
      <c r="T57" s="6"/>
      <c r="U57" s="5"/>
      <c r="V57" s="5" t="s">
        <v>64</v>
      </c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45791.0</v>
      </c>
      <c r="B58" s="4" t="s">
        <v>22</v>
      </c>
      <c r="C58" s="4" t="s">
        <v>23</v>
      </c>
      <c r="D58" s="4" t="s">
        <v>24</v>
      </c>
      <c r="E58" s="5" t="s">
        <v>25</v>
      </c>
      <c r="F58" s="6">
        <v>0.25069444444444444</v>
      </c>
      <c r="G58" s="6">
        <v>0.25069444444444444</v>
      </c>
      <c r="H58" s="7">
        <v>2.0</v>
      </c>
      <c r="I58" s="6">
        <v>0.465277777777661</v>
      </c>
      <c r="J58" s="6" t="s">
        <v>29</v>
      </c>
      <c r="K58" s="5"/>
      <c r="L58" s="5"/>
      <c r="M58" s="5"/>
      <c r="N58" s="5"/>
      <c r="O58" s="5"/>
      <c r="P58" s="5"/>
      <c r="Q58" s="6" t="str">
        <f t="shared" si="1"/>
        <v/>
      </c>
      <c r="R58" s="6" t="str">
        <f t="shared" si="2"/>
        <v/>
      </c>
      <c r="S58" s="6"/>
      <c r="T58" s="6"/>
      <c r="U58" s="5"/>
      <c r="V58" s="5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45791.0</v>
      </c>
      <c r="B59" s="4" t="s">
        <v>22</v>
      </c>
      <c r="C59" s="4" t="s">
        <v>23</v>
      </c>
      <c r="D59" s="4" t="s">
        <v>24</v>
      </c>
      <c r="E59" s="5" t="s">
        <v>25</v>
      </c>
      <c r="F59" s="6">
        <v>0.25069444444444444</v>
      </c>
      <c r="G59" s="6">
        <v>0.25069444444444444</v>
      </c>
      <c r="H59" s="7">
        <v>2.0</v>
      </c>
      <c r="I59" s="6">
        <v>0.467361111110993</v>
      </c>
      <c r="J59" s="6" t="s">
        <v>38</v>
      </c>
      <c r="K59" s="5"/>
      <c r="L59" s="5"/>
      <c r="M59" s="5"/>
      <c r="N59" s="5"/>
      <c r="O59" s="5"/>
      <c r="P59" s="5" t="s">
        <v>27</v>
      </c>
      <c r="Q59" s="6" t="str">
        <f t="shared" si="1"/>
        <v/>
      </c>
      <c r="R59" s="6" t="str">
        <f t="shared" si="2"/>
        <v/>
      </c>
      <c r="S59" s="6"/>
      <c r="T59" s="6"/>
      <c r="U59" s="5"/>
      <c r="V59" s="5" t="s">
        <v>65</v>
      </c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45791.0</v>
      </c>
      <c r="B60" s="4" t="s">
        <v>22</v>
      </c>
      <c r="C60" s="4" t="s">
        <v>23</v>
      </c>
      <c r="D60" s="4" t="s">
        <v>24</v>
      </c>
      <c r="E60" s="5" t="s">
        <v>25</v>
      </c>
      <c r="F60" s="6">
        <v>0.25069444444444444</v>
      </c>
      <c r="G60" s="6">
        <v>0.25069444444444444</v>
      </c>
      <c r="H60" s="7">
        <v>2.0</v>
      </c>
      <c r="I60" s="6">
        <v>0.468749999999881</v>
      </c>
      <c r="J60" s="6" t="s">
        <v>29</v>
      </c>
      <c r="K60" s="5"/>
      <c r="L60" s="5"/>
      <c r="M60" s="5"/>
      <c r="N60" s="5"/>
      <c r="O60" s="5"/>
      <c r="P60" s="5"/>
      <c r="Q60" s="6" t="str">
        <f t="shared" si="1"/>
        <v/>
      </c>
      <c r="R60" s="6" t="str">
        <f t="shared" si="2"/>
        <v/>
      </c>
      <c r="S60" s="6"/>
      <c r="T60" s="6"/>
      <c r="U60" s="5"/>
      <c r="V60" s="5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45791.0</v>
      </c>
      <c r="B61" s="4" t="s">
        <v>22</v>
      </c>
      <c r="C61" s="4" t="s">
        <v>23</v>
      </c>
      <c r="D61" s="4" t="s">
        <v>24</v>
      </c>
      <c r="E61" s="5" t="s">
        <v>25</v>
      </c>
      <c r="F61" s="6">
        <v>0.25069444444444444</v>
      </c>
      <c r="G61" s="6">
        <v>0.25069444444444444</v>
      </c>
      <c r="H61" s="7">
        <v>2.0</v>
      </c>
      <c r="I61" s="6">
        <v>0.472222222222101</v>
      </c>
      <c r="J61" s="6" t="s">
        <v>26</v>
      </c>
      <c r="K61" s="5"/>
      <c r="L61" s="5"/>
      <c r="M61" s="5"/>
      <c r="N61" s="5"/>
      <c r="O61" s="5"/>
      <c r="P61" s="5" t="s">
        <v>27</v>
      </c>
      <c r="Q61" s="6" t="str">
        <f t="shared" si="1"/>
        <v/>
      </c>
      <c r="R61" s="6" t="str">
        <f t="shared" si="2"/>
        <v/>
      </c>
      <c r="S61" s="6"/>
      <c r="T61" s="6"/>
      <c r="U61" s="5"/>
      <c r="V61" s="5" t="s">
        <v>42</v>
      </c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45791.0</v>
      </c>
      <c r="B62" s="4" t="s">
        <v>22</v>
      </c>
      <c r="C62" s="4" t="s">
        <v>23</v>
      </c>
      <c r="D62" s="4" t="s">
        <v>24</v>
      </c>
      <c r="E62" s="5" t="s">
        <v>25</v>
      </c>
      <c r="F62" s="6">
        <v>0.25069444444444444</v>
      </c>
      <c r="G62" s="6">
        <v>0.25069444444444444</v>
      </c>
      <c r="H62" s="7">
        <v>2.0</v>
      </c>
      <c r="I62" s="6">
        <v>0.474305555555433</v>
      </c>
      <c r="J62" s="6" t="s">
        <v>29</v>
      </c>
      <c r="K62" s="5"/>
      <c r="L62" s="5"/>
      <c r="M62" s="5"/>
      <c r="N62" s="5"/>
      <c r="O62" s="5"/>
      <c r="P62" s="5"/>
      <c r="Q62" s="6" t="str">
        <f t="shared" si="1"/>
        <v/>
      </c>
      <c r="R62" s="6" t="str">
        <f t="shared" si="2"/>
        <v/>
      </c>
      <c r="S62" s="6"/>
      <c r="T62" s="6"/>
      <c r="U62" s="5"/>
      <c r="V62" s="5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45791.0</v>
      </c>
      <c r="B63" s="4" t="s">
        <v>22</v>
      </c>
      <c r="C63" s="4" t="s">
        <v>23</v>
      </c>
      <c r="D63" s="4" t="s">
        <v>24</v>
      </c>
      <c r="E63" s="5" t="s">
        <v>25</v>
      </c>
      <c r="F63" s="6">
        <v>0.25069444444444444</v>
      </c>
      <c r="G63" s="6">
        <v>0.25069444444444444</v>
      </c>
      <c r="H63" s="7">
        <v>2.0</v>
      </c>
      <c r="I63" s="6">
        <v>0.485416666666537</v>
      </c>
      <c r="J63" s="6" t="s">
        <v>26</v>
      </c>
      <c r="K63" s="5"/>
      <c r="L63" s="5"/>
      <c r="M63" s="5"/>
      <c r="N63" s="5"/>
      <c r="O63" s="5"/>
      <c r="P63" s="5" t="s">
        <v>35</v>
      </c>
      <c r="Q63" s="6" t="str">
        <f t="shared" si="1"/>
        <v/>
      </c>
      <c r="R63" s="6" t="str">
        <f t="shared" si="2"/>
        <v/>
      </c>
      <c r="S63" s="6"/>
      <c r="T63" s="6"/>
      <c r="U63" s="5"/>
      <c r="V63" s="5" t="s">
        <v>66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45791.0</v>
      </c>
      <c r="B64" s="4" t="s">
        <v>22</v>
      </c>
      <c r="C64" s="4" t="s">
        <v>23</v>
      </c>
      <c r="D64" s="4" t="s">
        <v>24</v>
      </c>
      <c r="E64" s="5" t="s">
        <v>25</v>
      </c>
      <c r="F64" s="6">
        <v>0.25069444444444444</v>
      </c>
      <c r="G64" s="6">
        <v>0.25069444444444444</v>
      </c>
      <c r="H64" s="7">
        <v>2.0</v>
      </c>
      <c r="I64" s="6">
        <v>0.486805555555425</v>
      </c>
      <c r="J64" s="6" t="s">
        <v>29</v>
      </c>
      <c r="K64" s="5"/>
      <c r="L64" s="5"/>
      <c r="M64" s="5"/>
      <c r="N64" s="5"/>
      <c r="O64" s="5"/>
      <c r="P64" s="5"/>
      <c r="Q64" s="6" t="str">
        <f t="shared" si="1"/>
        <v/>
      </c>
      <c r="R64" s="6" t="str">
        <f t="shared" si="2"/>
        <v/>
      </c>
      <c r="S64" s="6"/>
      <c r="T64" s="6"/>
      <c r="U64" s="5"/>
      <c r="V64" s="5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45791.0</v>
      </c>
      <c r="B65" s="4" t="s">
        <v>22</v>
      </c>
      <c r="C65" s="4" t="s">
        <v>23</v>
      </c>
      <c r="D65" s="4" t="s">
        <v>24</v>
      </c>
      <c r="E65" s="5" t="s">
        <v>25</v>
      </c>
      <c r="F65" s="6">
        <v>0.25069444444444444</v>
      </c>
      <c r="G65" s="6">
        <v>0.25069444444444444</v>
      </c>
      <c r="H65" s="7">
        <v>2.0</v>
      </c>
      <c r="I65" s="6">
        <v>0.488888888888757</v>
      </c>
      <c r="J65" s="6" t="s">
        <v>30</v>
      </c>
      <c r="K65" s="5" t="s">
        <v>67</v>
      </c>
      <c r="L65" s="5" t="s">
        <v>32</v>
      </c>
      <c r="M65" s="5" t="s">
        <v>33</v>
      </c>
      <c r="N65" s="5" t="s">
        <v>34</v>
      </c>
      <c r="O65" s="5"/>
      <c r="P65" s="5" t="s">
        <v>68</v>
      </c>
      <c r="Q65" s="6">
        <f t="shared" si="1"/>
        <v>0.4888888889</v>
      </c>
      <c r="R65" s="6">
        <f t="shared" si="2"/>
        <v>0.4909722222</v>
      </c>
      <c r="S65" s="6">
        <v>0.4888888888888889</v>
      </c>
      <c r="T65" s="6">
        <v>0.4895833333333333</v>
      </c>
      <c r="U65" s="5">
        <v>4.0</v>
      </c>
      <c r="V65" s="5" t="s">
        <v>69</v>
      </c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45791.0</v>
      </c>
      <c r="B66" s="4" t="s">
        <v>22</v>
      </c>
      <c r="C66" s="4" t="s">
        <v>23</v>
      </c>
      <c r="D66" s="4" t="s">
        <v>24</v>
      </c>
      <c r="E66" s="5" t="s">
        <v>25</v>
      </c>
      <c r="F66" s="6">
        <v>0.25069444444444444</v>
      </c>
      <c r="G66" s="6">
        <v>0.25069444444444444</v>
      </c>
      <c r="H66" s="7">
        <v>2.0</v>
      </c>
      <c r="I66" s="6">
        <v>0.490972222222089</v>
      </c>
      <c r="J66" s="6" t="s">
        <v>29</v>
      </c>
      <c r="K66" s="5"/>
      <c r="L66" s="5"/>
      <c r="M66" s="5"/>
      <c r="N66" s="5"/>
      <c r="O66" s="5"/>
      <c r="P66" s="5"/>
      <c r="Q66" s="6" t="str">
        <f t="shared" si="1"/>
        <v/>
      </c>
      <c r="R66" s="6" t="str">
        <f t="shared" si="2"/>
        <v/>
      </c>
      <c r="S66" s="6"/>
      <c r="T66" s="6"/>
      <c r="U66" s="5"/>
      <c r="V66" s="5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45791.0</v>
      </c>
      <c r="B67" s="4" t="s">
        <v>22</v>
      </c>
      <c r="C67" s="4" t="s">
        <v>23</v>
      </c>
      <c r="D67" s="4" t="s">
        <v>24</v>
      </c>
      <c r="E67" s="5" t="s">
        <v>25</v>
      </c>
      <c r="F67" s="6">
        <v>0.25069444444444444</v>
      </c>
      <c r="G67" s="6">
        <v>0.25069444444444444</v>
      </c>
      <c r="H67" s="7">
        <v>2.0</v>
      </c>
      <c r="I67" s="6">
        <v>0.493055555555421</v>
      </c>
      <c r="J67" s="6" t="s">
        <v>26</v>
      </c>
      <c r="K67" s="5"/>
      <c r="L67" s="5"/>
      <c r="M67" s="5"/>
      <c r="N67" s="5"/>
      <c r="O67" s="5"/>
      <c r="P67" s="5" t="s">
        <v>35</v>
      </c>
      <c r="Q67" s="6" t="str">
        <f t="shared" si="1"/>
        <v/>
      </c>
      <c r="R67" s="6" t="str">
        <f t="shared" si="2"/>
        <v/>
      </c>
      <c r="S67" s="6"/>
      <c r="T67" s="6"/>
      <c r="U67" s="5"/>
      <c r="V67" s="5" t="s">
        <v>70</v>
      </c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45791.0</v>
      </c>
      <c r="B68" s="4" t="s">
        <v>22</v>
      </c>
      <c r="C68" s="4" t="s">
        <v>23</v>
      </c>
      <c r="D68" s="4" t="s">
        <v>24</v>
      </c>
      <c r="E68" s="5" t="s">
        <v>25</v>
      </c>
      <c r="F68" s="6">
        <v>0.25069444444444444</v>
      </c>
      <c r="G68" s="6">
        <v>0.25069444444444444</v>
      </c>
      <c r="H68" s="7">
        <v>2.0</v>
      </c>
      <c r="I68" s="6">
        <v>0.495138888888753</v>
      </c>
      <c r="J68" s="6" t="s">
        <v>29</v>
      </c>
      <c r="K68" s="5"/>
      <c r="L68" s="5"/>
      <c r="M68" s="5"/>
      <c r="N68" s="5"/>
      <c r="O68" s="5"/>
      <c r="P68" s="5"/>
      <c r="Q68" s="6" t="str">
        <f t="shared" si="1"/>
        <v/>
      </c>
      <c r="R68" s="6" t="str">
        <f t="shared" si="2"/>
        <v/>
      </c>
      <c r="S68" s="6"/>
      <c r="T68" s="6"/>
      <c r="U68" s="5"/>
      <c r="V68" s="5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45791.0</v>
      </c>
      <c r="B69" s="4" t="s">
        <v>22</v>
      </c>
      <c r="C69" s="4" t="s">
        <v>23</v>
      </c>
      <c r="D69" s="4" t="s">
        <v>24</v>
      </c>
      <c r="E69" s="5" t="s">
        <v>25</v>
      </c>
      <c r="F69" s="6">
        <v>0.25069444444444444</v>
      </c>
      <c r="G69" s="6">
        <v>0.25069444444444444</v>
      </c>
      <c r="H69" s="7">
        <v>2.0</v>
      </c>
      <c r="I69" s="6">
        <v>0.499305555555417</v>
      </c>
      <c r="J69" s="6" t="s">
        <v>26</v>
      </c>
      <c r="K69" s="5"/>
      <c r="L69" s="5"/>
      <c r="M69" s="5"/>
      <c r="N69" s="5"/>
      <c r="O69" s="5"/>
      <c r="P69" s="5" t="s">
        <v>35</v>
      </c>
      <c r="Q69" s="6" t="str">
        <f t="shared" si="1"/>
        <v/>
      </c>
      <c r="R69" s="6" t="str">
        <f t="shared" si="2"/>
        <v/>
      </c>
      <c r="S69" s="6"/>
      <c r="T69" s="6"/>
      <c r="U69" s="5"/>
      <c r="V69" s="5" t="s">
        <v>50</v>
      </c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45791.0</v>
      </c>
      <c r="B70" s="4" t="s">
        <v>22</v>
      </c>
      <c r="C70" s="4" t="s">
        <v>23</v>
      </c>
      <c r="D70" s="4" t="s">
        <v>24</v>
      </c>
      <c r="E70" s="5" t="s">
        <v>25</v>
      </c>
      <c r="F70" s="6">
        <v>0.25069444444444444</v>
      </c>
      <c r="G70" s="6">
        <v>0.25069444444444444</v>
      </c>
      <c r="H70" s="7">
        <v>2.0</v>
      </c>
      <c r="I70" s="6">
        <v>0.501388888888749</v>
      </c>
      <c r="J70" s="6" t="s">
        <v>29</v>
      </c>
      <c r="K70" s="5"/>
      <c r="L70" s="5"/>
      <c r="M70" s="5"/>
      <c r="N70" s="5"/>
      <c r="O70" s="5"/>
      <c r="P70" s="5"/>
      <c r="Q70" s="6" t="str">
        <f t="shared" si="1"/>
        <v/>
      </c>
      <c r="R70" s="6" t="str">
        <f t="shared" si="2"/>
        <v/>
      </c>
      <c r="S70" s="6"/>
      <c r="T70" s="6"/>
      <c r="U70" s="5"/>
      <c r="V70" s="5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45791.0</v>
      </c>
      <c r="B71" s="4" t="s">
        <v>22</v>
      </c>
      <c r="C71" s="4" t="s">
        <v>23</v>
      </c>
      <c r="D71" s="4" t="s">
        <v>24</v>
      </c>
      <c r="E71" s="5" t="s">
        <v>25</v>
      </c>
      <c r="F71" s="6">
        <v>0.25069444444444444</v>
      </c>
      <c r="G71" s="6">
        <v>0.25069444444444444</v>
      </c>
      <c r="H71" s="7">
        <v>1.0</v>
      </c>
      <c r="I71" s="6">
        <v>0.502777777777637</v>
      </c>
      <c r="J71" s="6" t="s">
        <v>30</v>
      </c>
      <c r="K71" s="5" t="s">
        <v>31</v>
      </c>
      <c r="L71" s="5" t="s">
        <v>32</v>
      </c>
      <c r="M71" s="5" t="s">
        <v>33</v>
      </c>
      <c r="N71" s="5" t="s">
        <v>34</v>
      </c>
      <c r="O71" s="5"/>
      <c r="P71" s="5" t="s">
        <v>35</v>
      </c>
      <c r="Q71" s="6">
        <f t="shared" si="1"/>
        <v>0.5027777778</v>
      </c>
      <c r="R71" s="6">
        <f t="shared" si="2"/>
        <v>0.5104166667</v>
      </c>
      <c r="S71" s="6"/>
      <c r="T71" s="6"/>
      <c r="U71" s="5"/>
      <c r="V71" s="5" t="s">
        <v>71</v>
      </c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45791.0</v>
      </c>
      <c r="B72" s="4" t="s">
        <v>22</v>
      </c>
      <c r="C72" s="4" t="s">
        <v>23</v>
      </c>
      <c r="D72" s="4" t="s">
        <v>24</v>
      </c>
      <c r="E72" s="5" t="s">
        <v>25</v>
      </c>
      <c r="F72" s="6">
        <v>0.25069444444444444</v>
      </c>
      <c r="G72" s="6">
        <v>0.25069444444444444</v>
      </c>
      <c r="H72" s="7">
        <v>2.0</v>
      </c>
      <c r="I72" s="6">
        <v>0.510416666666521</v>
      </c>
      <c r="J72" s="6" t="s">
        <v>29</v>
      </c>
      <c r="K72" s="5"/>
      <c r="L72" s="5"/>
      <c r="M72" s="5"/>
      <c r="N72" s="5"/>
      <c r="O72" s="5"/>
      <c r="P72" s="5"/>
      <c r="Q72" s="6" t="str">
        <f t="shared" si="1"/>
        <v/>
      </c>
      <c r="R72" s="6" t="str">
        <f t="shared" si="2"/>
        <v/>
      </c>
      <c r="S72" s="6"/>
      <c r="T72" s="6"/>
      <c r="U72" s="5"/>
      <c r="V72" s="5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45791.0</v>
      </c>
      <c r="B73" s="4" t="s">
        <v>22</v>
      </c>
      <c r="C73" s="4" t="s">
        <v>23</v>
      </c>
      <c r="D73" s="4" t="s">
        <v>24</v>
      </c>
      <c r="E73" s="5" t="s">
        <v>25</v>
      </c>
      <c r="F73" s="6">
        <v>0.25069444444444444</v>
      </c>
      <c r="G73" s="6">
        <v>0.25069444444444444</v>
      </c>
      <c r="H73" s="7">
        <v>2.0</v>
      </c>
      <c r="I73" s="6">
        <v>0.511805555555409</v>
      </c>
      <c r="J73" s="6" t="s">
        <v>30</v>
      </c>
      <c r="K73" s="5" t="s">
        <v>72</v>
      </c>
      <c r="L73" s="5" t="s">
        <v>73</v>
      </c>
      <c r="M73" s="5"/>
      <c r="N73" s="5"/>
      <c r="O73" s="5"/>
      <c r="P73" s="5" t="s">
        <v>35</v>
      </c>
      <c r="Q73" s="6">
        <f t="shared" si="1"/>
        <v>0.5118055556</v>
      </c>
      <c r="R73" s="6">
        <f t="shared" si="2"/>
        <v>0.5152777778</v>
      </c>
      <c r="S73" s="6">
        <v>0.5125</v>
      </c>
      <c r="T73" s="6">
        <v>0.5131944444444444</v>
      </c>
      <c r="U73" s="5">
        <v>8.0</v>
      </c>
      <c r="V73" s="5" t="s">
        <v>74</v>
      </c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3">
        <v>45791.0</v>
      </c>
      <c r="B74" s="4" t="s">
        <v>22</v>
      </c>
      <c r="C74" s="4" t="s">
        <v>23</v>
      </c>
      <c r="D74" s="4" t="s">
        <v>24</v>
      </c>
      <c r="E74" s="5" t="s">
        <v>25</v>
      </c>
      <c r="F74" s="6">
        <v>0.25069444444444444</v>
      </c>
      <c r="G74" s="6">
        <v>0.25069444444444444</v>
      </c>
      <c r="H74" s="7">
        <v>2.0</v>
      </c>
      <c r="I74" s="6">
        <v>0.515277777777629</v>
      </c>
      <c r="J74" s="6" t="s">
        <v>29</v>
      </c>
      <c r="K74" s="5"/>
      <c r="L74" s="5"/>
      <c r="M74" s="5"/>
      <c r="N74" s="5"/>
      <c r="O74" s="5"/>
      <c r="P74" s="5"/>
      <c r="Q74" s="6" t="str">
        <f t="shared" si="1"/>
        <v/>
      </c>
      <c r="R74" s="6" t="str">
        <f t="shared" si="2"/>
        <v/>
      </c>
      <c r="S74" s="6"/>
      <c r="T74" s="6"/>
      <c r="U74" s="5"/>
      <c r="V74" s="5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3">
        <v>45791.0</v>
      </c>
      <c r="B75" s="4" t="s">
        <v>22</v>
      </c>
      <c r="C75" s="4" t="s">
        <v>23</v>
      </c>
      <c r="D75" s="4" t="s">
        <v>24</v>
      </c>
      <c r="E75" s="5" t="s">
        <v>25</v>
      </c>
      <c r="F75" s="6">
        <v>0.25069444444444444</v>
      </c>
      <c r="G75" s="6">
        <v>0.25069444444444444</v>
      </c>
      <c r="H75" s="7">
        <v>2.0</v>
      </c>
      <c r="I75" s="6">
        <v>0.518749999999849</v>
      </c>
      <c r="J75" s="6" t="s">
        <v>30</v>
      </c>
      <c r="K75" s="5" t="s">
        <v>31</v>
      </c>
      <c r="L75" s="5" t="s">
        <v>32</v>
      </c>
      <c r="M75" s="5" t="s">
        <v>33</v>
      </c>
      <c r="N75" s="5" t="s">
        <v>34</v>
      </c>
      <c r="O75" s="5"/>
      <c r="P75" s="5" t="s">
        <v>35</v>
      </c>
      <c r="Q75" s="6">
        <f t="shared" si="1"/>
        <v>0.51875</v>
      </c>
      <c r="R75" s="6">
        <f t="shared" si="2"/>
        <v>0.5208333333</v>
      </c>
      <c r="S75" s="6">
        <v>0.5194444444444445</v>
      </c>
      <c r="T75" s="6">
        <v>0.5201388888888889</v>
      </c>
      <c r="U75" s="5">
        <v>10.0</v>
      </c>
      <c r="V75" s="5" t="s">
        <v>43</v>
      </c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3">
        <v>45791.0</v>
      </c>
      <c r="B76" s="4" t="s">
        <v>22</v>
      </c>
      <c r="C76" s="4" t="s">
        <v>23</v>
      </c>
      <c r="D76" s="4" t="s">
        <v>24</v>
      </c>
      <c r="E76" s="5" t="s">
        <v>25</v>
      </c>
      <c r="F76" s="6">
        <v>0.25069444444444444</v>
      </c>
      <c r="G76" s="6">
        <v>0.25069444444444444</v>
      </c>
      <c r="H76" s="7">
        <v>2.0</v>
      </c>
      <c r="I76" s="6">
        <v>0.520833333333181</v>
      </c>
      <c r="J76" s="6" t="s">
        <v>29</v>
      </c>
      <c r="K76" s="5"/>
      <c r="L76" s="5"/>
      <c r="M76" s="5"/>
      <c r="N76" s="5"/>
      <c r="O76" s="5"/>
      <c r="P76" s="5"/>
      <c r="Q76" s="6" t="str">
        <f t="shared" si="1"/>
        <v/>
      </c>
      <c r="R76" s="6" t="str">
        <f t="shared" si="2"/>
        <v/>
      </c>
      <c r="S76" s="6"/>
      <c r="T76" s="6"/>
      <c r="U76" s="5"/>
      <c r="V76" s="5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3">
        <v>45791.0</v>
      </c>
      <c r="B77" s="4" t="s">
        <v>22</v>
      </c>
      <c r="C77" s="4" t="s">
        <v>23</v>
      </c>
      <c r="D77" s="4" t="s">
        <v>24</v>
      </c>
      <c r="E77" s="5" t="s">
        <v>25</v>
      </c>
      <c r="F77" s="6">
        <v>0.25069444444444444</v>
      </c>
      <c r="G77" s="6">
        <v>0.25069444444444444</v>
      </c>
      <c r="H77" s="7">
        <v>2.0</v>
      </c>
      <c r="I77" s="6">
        <v>0.522916666666513</v>
      </c>
      <c r="J77" s="6" t="s">
        <v>26</v>
      </c>
      <c r="K77" s="5"/>
      <c r="L77" s="5"/>
      <c r="M77" s="5"/>
      <c r="N77" s="5"/>
      <c r="O77" s="5"/>
      <c r="P77" s="5" t="s">
        <v>27</v>
      </c>
      <c r="Q77" s="6" t="str">
        <f t="shared" si="1"/>
        <v/>
      </c>
      <c r="R77" s="6" t="str">
        <f t="shared" si="2"/>
        <v/>
      </c>
      <c r="S77" s="6"/>
      <c r="T77" s="6"/>
      <c r="U77" s="5"/>
      <c r="V77" s="5" t="s">
        <v>75</v>
      </c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3">
        <v>45791.0</v>
      </c>
      <c r="B78" s="4" t="s">
        <v>22</v>
      </c>
      <c r="C78" s="4" t="s">
        <v>23</v>
      </c>
      <c r="D78" s="4" t="s">
        <v>24</v>
      </c>
      <c r="E78" s="5" t="s">
        <v>25</v>
      </c>
      <c r="F78" s="6">
        <v>0.25069444444444444</v>
      </c>
      <c r="G78" s="6">
        <v>0.25069444444444444</v>
      </c>
      <c r="H78" s="7">
        <v>2.0</v>
      </c>
      <c r="I78" s="6">
        <v>0.525694444444289</v>
      </c>
      <c r="J78" s="6" t="s">
        <v>29</v>
      </c>
      <c r="K78" s="5"/>
      <c r="L78" s="5"/>
      <c r="M78" s="5"/>
      <c r="N78" s="5"/>
      <c r="O78" s="5"/>
      <c r="P78" s="5"/>
      <c r="Q78" s="6" t="str">
        <f t="shared" si="1"/>
        <v/>
      </c>
      <c r="R78" s="6" t="str">
        <f t="shared" si="2"/>
        <v/>
      </c>
      <c r="S78" s="6"/>
      <c r="T78" s="6"/>
      <c r="U78" s="5"/>
      <c r="V78" s="5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3">
        <v>45791.0</v>
      </c>
      <c r="B79" s="4" t="s">
        <v>22</v>
      </c>
      <c r="C79" s="4" t="s">
        <v>23</v>
      </c>
      <c r="D79" s="4" t="s">
        <v>24</v>
      </c>
      <c r="E79" s="5" t="s">
        <v>25</v>
      </c>
      <c r="F79" s="6">
        <v>0.25069444444444444</v>
      </c>
      <c r="G79" s="6">
        <v>0.25069444444444444</v>
      </c>
      <c r="H79" s="7">
        <v>2.0</v>
      </c>
      <c r="I79" s="6">
        <v>0.527777777777621</v>
      </c>
      <c r="J79" s="6" t="s">
        <v>26</v>
      </c>
      <c r="K79" s="5"/>
      <c r="L79" s="5"/>
      <c r="M79" s="5"/>
      <c r="N79" s="5"/>
      <c r="O79" s="5"/>
      <c r="P79" s="5" t="s">
        <v>27</v>
      </c>
      <c r="Q79" s="6" t="str">
        <f t="shared" si="1"/>
        <v/>
      </c>
      <c r="R79" s="6" t="str">
        <f t="shared" si="2"/>
        <v/>
      </c>
      <c r="S79" s="6"/>
      <c r="T79" s="6"/>
      <c r="U79" s="5"/>
      <c r="V79" s="5" t="s">
        <v>76</v>
      </c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3">
        <v>45791.0</v>
      </c>
      <c r="B80" s="4" t="s">
        <v>22</v>
      </c>
      <c r="C80" s="4" t="s">
        <v>23</v>
      </c>
      <c r="D80" s="4" t="s">
        <v>24</v>
      </c>
      <c r="E80" s="5" t="s">
        <v>25</v>
      </c>
      <c r="F80" s="6">
        <v>0.25069444444444444</v>
      </c>
      <c r="G80" s="6">
        <v>0.25069444444444444</v>
      </c>
      <c r="H80" s="7">
        <v>2.0</v>
      </c>
      <c r="I80" s="6">
        <v>0.533333333333173</v>
      </c>
      <c r="J80" s="6" t="s">
        <v>29</v>
      </c>
      <c r="K80" s="5"/>
      <c r="L80" s="5"/>
      <c r="M80" s="5"/>
      <c r="N80" s="5"/>
      <c r="O80" s="5"/>
      <c r="P80" s="5"/>
      <c r="Q80" s="6" t="str">
        <f t="shared" si="1"/>
        <v/>
      </c>
      <c r="R80" s="6" t="str">
        <f t="shared" si="2"/>
        <v/>
      </c>
      <c r="S80" s="6"/>
      <c r="T80" s="6"/>
      <c r="U80" s="5"/>
      <c r="V80" s="5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3">
        <v>45791.0</v>
      </c>
      <c r="B81" s="4" t="s">
        <v>22</v>
      </c>
      <c r="C81" s="4" t="s">
        <v>23</v>
      </c>
      <c r="D81" s="4" t="s">
        <v>24</v>
      </c>
      <c r="E81" s="5" t="s">
        <v>25</v>
      </c>
      <c r="F81" s="6">
        <v>0.25069444444444444</v>
      </c>
      <c r="G81" s="6">
        <v>0.25069444444444444</v>
      </c>
      <c r="H81" s="7">
        <v>2.0</v>
      </c>
      <c r="I81" s="6">
        <v>0.540972222222057</v>
      </c>
      <c r="J81" s="6" t="s">
        <v>30</v>
      </c>
      <c r="K81" s="5" t="s">
        <v>77</v>
      </c>
      <c r="L81" s="5" t="s">
        <v>73</v>
      </c>
      <c r="M81" s="5"/>
      <c r="N81" s="5"/>
      <c r="O81" s="5"/>
      <c r="P81" s="5" t="s">
        <v>27</v>
      </c>
      <c r="Q81" s="6">
        <f t="shared" si="1"/>
        <v>0.5409722222</v>
      </c>
      <c r="R81" s="6">
        <f t="shared" si="2"/>
        <v>0.5423611111</v>
      </c>
      <c r="S81" s="6">
        <v>0.5416666666666666</v>
      </c>
      <c r="T81" s="6">
        <v>0.5423611111111111</v>
      </c>
      <c r="U81" s="5">
        <v>8.0</v>
      </c>
      <c r="V81" s="5" t="s">
        <v>78</v>
      </c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3">
        <v>45791.0</v>
      </c>
      <c r="B82" s="4" t="s">
        <v>22</v>
      </c>
      <c r="C82" s="4" t="s">
        <v>23</v>
      </c>
      <c r="D82" s="4" t="s">
        <v>24</v>
      </c>
      <c r="E82" s="5" t="s">
        <v>25</v>
      </c>
      <c r="F82" s="6">
        <v>0.25069444444444444</v>
      </c>
      <c r="G82" s="6">
        <v>0.25069444444444444</v>
      </c>
      <c r="H82" s="7">
        <v>2.0</v>
      </c>
      <c r="I82" s="6">
        <v>0.542361111110945</v>
      </c>
      <c r="J82" s="6" t="s">
        <v>29</v>
      </c>
      <c r="K82" s="5"/>
      <c r="L82" s="5"/>
      <c r="M82" s="5"/>
      <c r="N82" s="5"/>
      <c r="O82" s="5"/>
      <c r="P82" s="5"/>
      <c r="Q82" s="6" t="str">
        <f t="shared" si="1"/>
        <v/>
      </c>
      <c r="R82" s="6" t="str">
        <f t="shared" si="2"/>
        <v/>
      </c>
      <c r="S82" s="6"/>
      <c r="T82" s="6"/>
      <c r="U82" s="5"/>
      <c r="V82" s="5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3">
        <v>45791.0</v>
      </c>
      <c r="B83" s="4" t="s">
        <v>22</v>
      </c>
      <c r="C83" s="4" t="s">
        <v>23</v>
      </c>
      <c r="D83" s="4" t="s">
        <v>24</v>
      </c>
      <c r="E83" s="5" t="s">
        <v>25</v>
      </c>
      <c r="F83" s="6">
        <v>0.25069444444444444</v>
      </c>
      <c r="G83" s="6">
        <v>0.25069444444444444</v>
      </c>
      <c r="H83" s="7">
        <v>1.0</v>
      </c>
      <c r="I83" s="6">
        <v>0.550694444444273</v>
      </c>
      <c r="J83" s="6" t="s">
        <v>30</v>
      </c>
      <c r="K83" s="5" t="s">
        <v>31</v>
      </c>
      <c r="L83" s="5" t="s">
        <v>32</v>
      </c>
      <c r="M83" s="5" t="s">
        <v>33</v>
      </c>
      <c r="N83" s="5" t="s">
        <v>34</v>
      </c>
      <c r="O83" s="5"/>
      <c r="P83" s="5" t="s">
        <v>35</v>
      </c>
      <c r="Q83" s="6">
        <f t="shared" si="1"/>
        <v>0.5506944444</v>
      </c>
      <c r="R83" s="6">
        <f t="shared" si="2"/>
        <v>0.5541666667</v>
      </c>
      <c r="S83" s="6"/>
      <c r="T83" s="6"/>
      <c r="U83" s="5"/>
      <c r="V83" s="5" t="s">
        <v>79</v>
      </c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3">
        <v>45791.0</v>
      </c>
      <c r="B84" s="4" t="s">
        <v>22</v>
      </c>
      <c r="C84" s="4" t="s">
        <v>23</v>
      </c>
      <c r="D84" s="4" t="s">
        <v>24</v>
      </c>
      <c r="E84" s="5" t="s">
        <v>25</v>
      </c>
      <c r="F84" s="6">
        <v>0.25069444444444444</v>
      </c>
      <c r="G84" s="6">
        <v>0.25069444444444444</v>
      </c>
      <c r="H84" s="7">
        <v>2.0</v>
      </c>
      <c r="I84" s="6">
        <v>0.554166666666493</v>
      </c>
      <c r="J84" s="6" t="s">
        <v>29</v>
      </c>
      <c r="K84" s="5"/>
      <c r="L84" s="5"/>
      <c r="M84" s="5"/>
      <c r="N84" s="5"/>
      <c r="O84" s="5"/>
      <c r="P84" s="5"/>
      <c r="Q84" s="6" t="str">
        <f t="shared" si="1"/>
        <v/>
      </c>
      <c r="R84" s="6" t="str">
        <f t="shared" si="2"/>
        <v/>
      </c>
      <c r="S84" s="6"/>
      <c r="T84" s="6"/>
      <c r="U84" s="5"/>
      <c r="V84" s="5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3">
        <v>45791.0</v>
      </c>
      <c r="B85" s="4" t="s">
        <v>22</v>
      </c>
      <c r="C85" s="4" t="s">
        <v>23</v>
      </c>
      <c r="D85" s="4" t="s">
        <v>24</v>
      </c>
      <c r="E85" s="5" t="s">
        <v>25</v>
      </c>
      <c r="F85" s="6">
        <v>0.25069444444444444</v>
      </c>
      <c r="G85" s="6">
        <v>0.25069444444444444</v>
      </c>
      <c r="H85" s="7">
        <v>2.0</v>
      </c>
      <c r="I85" s="6">
        <v>0.561805555555377</v>
      </c>
      <c r="J85" s="6" t="s">
        <v>30</v>
      </c>
      <c r="K85" s="5" t="s">
        <v>31</v>
      </c>
      <c r="L85" s="5" t="s">
        <v>32</v>
      </c>
      <c r="M85" s="5" t="s">
        <v>33</v>
      </c>
      <c r="N85" s="5" t="s">
        <v>34</v>
      </c>
      <c r="O85" s="5"/>
      <c r="P85" s="5" t="s">
        <v>27</v>
      </c>
      <c r="Q85" s="6">
        <f t="shared" si="1"/>
        <v>0.5618055556</v>
      </c>
      <c r="R85" s="6">
        <f t="shared" si="2"/>
        <v>0.5652777778</v>
      </c>
      <c r="S85" s="6">
        <v>0.5645833333333333</v>
      </c>
      <c r="T85" s="6">
        <v>0.5652777777777778</v>
      </c>
      <c r="U85" s="5">
        <v>3.0</v>
      </c>
      <c r="V85" s="5" t="s">
        <v>80</v>
      </c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3">
        <v>45791.0</v>
      </c>
      <c r="B86" s="4" t="s">
        <v>22</v>
      </c>
      <c r="C86" s="4" t="s">
        <v>23</v>
      </c>
      <c r="D86" s="4" t="s">
        <v>24</v>
      </c>
      <c r="E86" s="5" t="s">
        <v>25</v>
      </c>
      <c r="F86" s="6">
        <v>0.25069444444444444</v>
      </c>
      <c r="G86" s="6">
        <v>0.25069444444444444</v>
      </c>
      <c r="H86" s="7">
        <v>2.0</v>
      </c>
      <c r="I86" s="6">
        <v>0.565277777777597</v>
      </c>
      <c r="J86" s="6" t="s">
        <v>29</v>
      </c>
      <c r="K86" s="5"/>
      <c r="L86" s="5"/>
      <c r="M86" s="5"/>
      <c r="N86" s="5"/>
      <c r="O86" s="5"/>
      <c r="P86" s="5"/>
      <c r="Q86" s="6" t="str">
        <f t="shared" si="1"/>
        <v/>
      </c>
      <c r="R86" s="6" t="str">
        <f t="shared" si="2"/>
        <v/>
      </c>
      <c r="S86" s="6"/>
      <c r="T86" s="6"/>
      <c r="U86" s="5"/>
      <c r="V86" s="5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3">
        <v>45791.0</v>
      </c>
      <c r="B87" s="4" t="s">
        <v>22</v>
      </c>
      <c r="C87" s="4" t="s">
        <v>23</v>
      </c>
      <c r="D87" s="4" t="s">
        <v>24</v>
      </c>
      <c r="E87" s="5" t="s">
        <v>25</v>
      </c>
      <c r="F87" s="6">
        <v>0.25069444444444444</v>
      </c>
      <c r="G87" s="6">
        <v>0.25069444444444444</v>
      </c>
      <c r="H87" s="7">
        <v>2.0</v>
      </c>
      <c r="I87" s="6">
        <v>0.568055555555373</v>
      </c>
      <c r="J87" s="6" t="s">
        <v>30</v>
      </c>
      <c r="K87" s="5" t="s">
        <v>31</v>
      </c>
      <c r="L87" s="5" t="s">
        <v>32</v>
      </c>
      <c r="M87" s="5" t="s">
        <v>33</v>
      </c>
      <c r="N87" s="5" t="s">
        <v>34</v>
      </c>
      <c r="O87" s="5"/>
      <c r="P87" s="5" t="s">
        <v>35</v>
      </c>
      <c r="Q87" s="6">
        <f t="shared" si="1"/>
        <v>0.5680555556</v>
      </c>
      <c r="R87" s="6">
        <f t="shared" si="2"/>
        <v>0.5715277778</v>
      </c>
      <c r="S87" s="6">
        <v>0.5708333333333333</v>
      </c>
      <c r="T87" s="6">
        <v>0.5715277777777777</v>
      </c>
      <c r="U87" s="5">
        <v>12.0</v>
      </c>
      <c r="V87" s="5" t="s">
        <v>81</v>
      </c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3">
        <v>45791.0</v>
      </c>
      <c r="B88" s="4" t="s">
        <v>22</v>
      </c>
      <c r="C88" s="4" t="s">
        <v>23</v>
      </c>
      <c r="D88" s="4" t="s">
        <v>24</v>
      </c>
      <c r="E88" s="5" t="s">
        <v>25</v>
      </c>
      <c r="F88" s="6">
        <v>0.25069444444444444</v>
      </c>
      <c r="G88" s="6">
        <v>0.25069444444444444</v>
      </c>
      <c r="H88" s="7">
        <v>2.0</v>
      </c>
      <c r="I88" s="6">
        <v>0.5715277777777777</v>
      </c>
      <c r="J88" s="6" t="s">
        <v>29</v>
      </c>
      <c r="K88" s="5"/>
      <c r="L88" s="5"/>
      <c r="M88" s="5"/>
      <c r="N88" s="5"/>
      <c r="O88" s="5"/>
      <c r="P88" s="5"/>
      <c r="Q88" s="6" t="str">
        <f t="shared" si="1"/>
        <v/>
      </c>
      <c r="R88" s="6" t="str">
        <f t="shared" si="2"/>
        <v/>
      </c>
      <c r="S88" s="6"/>
      <c r="T88" s="6"/>
      <c r="U88" s="5"/>
      <c r="V88" s="5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3">
        <v>45791.0</v>
      </c>
      <c r="B89" s="4" t="s">
        <v>22</v>
      </c>
      <c r="C89" s="4" t="s">
        <v>23</v>
      </c>
      <c r="D89" s="4" t="s">
        <v>24</v>
      </c>
      <c r="E89" s="5" t="s">
        <v>25</v>
      </c>
      <c r="F89" s="6">
        <v>0.25069444444444444</v>
      </c>
      <c r="G89" s="6">
        <v>0.25069444444444444</v>
      </c>
      <c r="H89" s="7">
        <v>2.0</v>
      </c>
      <c r="I89" s="6">
        <v>0.572916666666481</v>
      </c>
      <c r="J89" s="6" t="s">
        <v>30</v>
      </c>
      <c r="K89" s="5" t="s">
        <v>31</v>
      </c>
      <c r="L89" s="5" t="s">
        <v>32</v>
      </c>
      <c r="M89" s="5" t="s">
        <v>33</v>
      </c>
      <c r="N89" s="5" t="s">
        <v>34</v>
      </c>
      <c r="O89" s="5"/>
      <c r="P89" s="5" t="s">
        <v>35</v>
      </c>
      <c r="Q89" s="6">
        <f t="shared" si="1"/>
        <v>0.5729166667</v>
      </c>
      <c r="R89" s="6">
        <f t="shared" si="2"/>
        <v>0.5743055556</v>
      </c>
      <c r="S89" s="6">
        <v>0.5736111111111111</v>
      </c>
      <c r="T89" s="6">
        <v>0.5743055555555555</v>
      </c>
      <c r="U89" s="5">
        <v>12.0</v>
      </c>
      <c r="V89" s="5" t="s">
        <v>82</v>
      </c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3">
        <v>45791.0</v>
      </c>
      <c r="B90" s="4" t="s">
        <v>22</v>
      </c>
      <c r="C90" s="4" t="s">
        <v>23</v>
      </c>
      <c r="D90" s="4" t="s">
        <v>24</v>
      </c>
      <c r="E90" s="5" t="s">
        <v>25</v>
      </c>
      <c r="F90" s="6">
        <v>0.25069444444444444</v>
      </c>
      <c r="G90" s="6">
        <v>0.25069444444444444</v>
      </c>
      <c r="H90" s="7">
        <v>2.0</v>
      </c>
      <c r="I90" s="6">
        <v>0.574305555555369</v>
      </c>
      <c r="J90" s="6" t="s">
        <v>29</v>
      </c>
      <c r="K90" s="5"/>
      <c r="L90" s="5"/>
      <c r="M90" s="5"/>
      <c r="N90" s="5"/>
      <c r="O90" s="5"/>
      <c r="P90" s="5"/>
      <c r="Q90" s="6" t="str">
        <f t="shared" si="1"/>
        <v/>
      </c>
      <c r="R90" s="6" t="str">
        <f t="shared" si="2"/>
        <v/>
      </c>
      <c r="S90" s="6"/>
      <c r="T90" s="6"/>
      <c r="U90" s="5"/>
      <c r="V90" s="5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3">
        <v>45791.0</v>
      </c>
      <c r="B91" s="4" t="s">
        <v>22</v>
      </c>
      <c r="C91" s="4" t="s">
        <v>23</v>
      </c>
      <c r="D91" s="4" t="s">
        <v>24</v>
      </c>
      <c r="E91" s="5" t="s">
        <v>25</v>
      </c>
      <c r="F91" s="6">
        <v>0.25069444444444444</v>
      </c>
      <c r="G91" s="6">
        <v>0.25069444444444444</v>
      </c>
      <c r="H91" s="7">
        <v>2.0</v>
      </c>
      <c r="I91" s="6">
        <v>0.578472222222033</v>
      </c>
      <c r="J91" s="6" t="s">
        <v>26</v>
      </c>
      <c r="K91" s="5"/>
      <c r="L91" s="5"/>
      <c r="M91" s="5"/>
      <c r="N91" s="5"/>
      <c r="O91" s="5"/>
      <c r="P91" s="5" t="s">
        <v>68</v>
      </c>
      <c r="Q91" s="6" t="str">
        <f t="shared" si="1"/>
        <v/>
      </c>
      <c r="R91" s="6" t="str">
        <f t="shared" si="2"/>
        <v/>
      </c>
      <c r="S91" s="6"/>
      <c r="T91" s="6"/>
      <c r="U91" s="5"/>
      <c r="V91" s="5" t="s">
        <v>83</v>
      </c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3">
        <v>45791.0</v>
      </c>
      <c r="B92" s="4" t="s">
        <v>22</v>
      </c>
      <c r="C92" s="4" t="s">
        <v>23</v>
      </c>
      <c r="D92" s="4" t="s">
        <v>24</v>
      </c>
      <c r="E92" s="5" t="s">
        <v>25</v>
      </c>
      <c r="F92" s="6">
        <v>0.25069444444444444</v>
      </c>
      <c r="G92" s="6">
        <v>0.25069444444444444</v>
      </c>
      <c r="H92" s="7">
        <v>2.0</v>
      </c>
      <c r="I92" s="6">
        <v>0.581249999999809</v>
      </c>
      <c r="J92" s="6" t="s">
        <v>29</v>
      </c>
      <c r="K92" s="5"/>
      <c r="L92" s="5"/>
      <c r="M92" s="5"/>
      <c r="N92" s="5"/>
      <c r="O92" s="5"/>
      <c r="P92" s="5"/>
      <c r="Q92" s="6" t="str">
        <f t="shared" si="1"/>
        <v/>
      </c>
      <c r="R92" s="6" t="str">
        <f t="shared" si="2"/>
        <v/>
      </c>
      <c r="S92" s="6"/>
      <c r="T92" s="6"/>
      <c r="U92" s="5"/>
      <c r="V92" s="5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3">
        <v>45791.0</v>
      </c>
      <c r="B93" s="4" t="s">
        <v>22</v>
      </c>
      <c r="C93" s="4" t="s">
        <v>23</v>
      </c>
      <c r="D93" s="4" t="s">
        <v>24</v>
      </c>
      <c r="E93" s="5" t="s">
        <v>25</v>
      </c>
      <c r="F93" s="6">
        <v>0.25069444444444444</v>
      </c>
      <c r="G93" s="6">
        <v>0.25069444444444444</v>
      </c>
      <c r="H93" s="7">
        <v>2.0</v>
      </c>
      <c r="I93" s="6">
        <v>0.582638888888697</v>
      </c>
      <c r="J93" s="6" t="s">
        <v>26</v>
      </c>
      <c r="K93" s="5"/>
      <c r="L93" s="5"/>
      <c r="M93" s="5"/>
      <c r="N93" s="5"/>
      <c r="O93" s="5"/>
      <c r="P93" s="5" t="s">
        <v>27</v>
      </c>
      <c r="Q93" s="6" t="str">
        <f t="shared" si="1"/>
        <v/>
      </c>
      <c r="R93" s="6" t="str">
        <f t="shared" si="2"/>
        <v/>
      </c>
      <c r="S93" s="6"/>
      <c r="T93" s="6"/>
      <c r="U93" s="5"/>
      <c r="V93" s="5" t="s">
        <v>84</v>
      </c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3">
        <v>45791.0</v>
      </c>
      <c r="B94" s="4" t="s">
        <v>22</v>
      </c>
      <c r="C94" s="4" t="s">
        <v>23</v>
      </c>
      <c r="D94" s="4" t="s">
        <v>24</v>
      </c>
      <c r="E94" s="5" t="s">
        <v>25</v>
      </c>
      <c r="F94" s="6">
        <v>0.25069444444444444</v>
      </c>
      <c r="G94" s="6">
        <v>0.25069444444444444</v>
      </c>
      <c r="H94" s="7">
        <v>2.0</v>
      </c>
      <c r="I94" s="6">
        <v>0.584027777777585</v>
      </c>
      <c r="J94" s="6" t="s">
        <v>30</v>
      </c>
      <c r="K94" s="5" t="s">
        <v>31</v>
      </c>
      <c r="L94" s="5" t="s">
        <v>32</v>
      </c>
      <c r="M94" s="5" t="s">
        <v>33</v>
      </c>
      <c r="N94" s="5" t="s">
        <v>34</v>
      </c>
      <c r="O94" s="5"/>
      <c r="P94" s="5" t="s">
        <v>27</v>
      </c>
      <c r="Q94" s="6">
        <f t="shared" si="1"/>
        <v>0.5840277778</v>
      </c>
      <c r="R94" s="6">
        <f t="shared" si="2"/>
        <v>0.5888888889</v>
      </c>
      <c r="S94" s="6">
        <v>0.5854166666666667</v>
      </c>
      <c r="T94" s="6">
        <v>0.5861111111111111</v>
      </c>
      <c r="U94" s="5">
        <v>7.0</v>
      </c>
      <c r="V94" s="5" t="s">
        <v>85</v>
      </c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3">
        <v>45791.0</v>
      </c>
      <c r="B95" s="4" t="s">
        <v>22</v>
      </c>
      <c r="C95" s="4" t="s">
        <v>23</v>
      </c>
      <c r="D95" s="4" t="s">
        <v>24</v>
      </c>
      <c r="E95" s="5" t="s">
        <v>25</v>
      </c>
      <c r="F95" s="6">
        <v>0.25069444444444444</v>
      </c>
      <c r="G95" s="6">
        <v>0.25069444444444444</v>
      </c>
      <c r="H95" s="7">
        <v>2.0</v>
      </c>
      <c r="I95" s="6">
        <v>0.588888888888693</v>
      </c>
      <c r="J95" s="6" t="s">
        <v>29</v>
      </c>
      <c r="K95" s="5"/>
      <c r="L95" s="5"/>
      <c r="M95" s="5"/>
      <c r="N95" s="5"/>
      <c r="O95" s="5"/>
      <c r="P95" s="5"/>
      <c r="Q95" s="6" t="str">
        <f t="shared" si="1"/>
        <v/>
      </c>
      <c r="R95" s="6" t="str">
        <f t="shared" si="2"/>
        <v/>
      </c>
      <c r="S95" s="6"/>
      <c r="T95" s="6"/>
      <c r="U95" s="5"/>
      <c r="V95" s="5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3">
        <v>45791.0</v>
      </c>
      <c r="B96" s="4" t="s">
        <v>22</v>
      </c>
      <c r="C96" s="4" t="s">
        <v>23</v>
      </c>
      <c r="D96" s="4" t="s">
        <v>24</v>
      </c>
      <c r="E96" s="5" t="s">
        <v>25</v>
      </c>
      <c r="F96" s="6">
        <v>0.25069444444444444</v>
      </c>
      <c r="G96" s="6">
        <v>0.25069444444444444</v>
      </c>
      <c r="H96" s="7">
        <v>2.0</v>
      </c>
      <c r="I96" s="6">
        <v>0.590277777777581</v>
      </c>
      <c r="J96" s="6" t="s">
        <v>26</v>
      </c>
      <c r="K96" s="5"/>
      <c r="L96" s="5"/>
      <c r="M96" s="5"/>
      <c r="N96" s="5"/>
      <c r="O96" s="5"/>
      <c r="P96" s="5" t="s">
        <v>27</v>
      </c>
      <c r="Q96" s="6" t="str">
        <f t="shared" si="1"/>
        <v/>
      </c>
      <c r="R96" s="6" t="str">
        <f t="shared" si="2"/>
        <v/>
      </c>
      <c r="S96" s="6"/>
      <c r="T96" s="6"/>
      <c r="U96" s="5"/>
      <c r="V96" s="5" t="s">
        <v>86</v>
      </c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3">
        <v>45791.0</v>
      </c>
      <c r="B97" s="4" t="s">
        <v>22</v>
      </c>
      <c r="C97" s="4" t="s">
        <v>23</v>
      </c>
      <c r="D97" s="4" t="s">
        <v>24</v>
      </c>
      <c r="E97" s="5" t="s">
        <v>25</v>
      </c>
      <c r="F97" s="6">
        <v>0.25069444444444444</v>
      </c>
      <c r="G97" s="6">
        <v>0.25069444444444444</v>
      </c>
      <c r="H97" s="7">
        <v>2.0</v>
      </c>
      <c r="I97" s="6">
        <v>0.591666666666469</v>
      </c>
      <c r="J97" s="6" t="s">
        <v>29</v>
      </c>
      <c r="K97" s="5"/>
      <c r="L97" s="5"/>
      <c r="M97" s="5"/>
      <c r="N97" s="5"/>
      <c r="O97" s="5"/>
      <c r="P97" s="5"/>
      <c r="Q97" s="6" t="str">
        <f t="shared" si="1"/>
        <v/>
      </c>
      <c r="R97" s="6" t="str">
        <f t="shared" si="2"/>
        <v/>
      </c>
      <c r="S97" s="6"/>
      <c r="T97" s="6"/>
      <c r="U97" s="5"/>
      <c r="V97" s="5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3">
        <v>45791.0</v>
      </c>
      <c r="B98" s="4" t="s">
        <v>22</v>
      </c>
      <c r="C98" s="4" t="s">
        <v>23</v>
      </c>
      <c r="D98" s="4" t="s">
        <v>24</v>
      </c>
      <c r="E98" s="5" t="s">
        <v>25</v>
      </c>
      <c r="F98" s="6">
        <v>0.25069444444444444</v>
      </c>
      <c r="G98" s="6">
        <v>0.25069444444444444</v>
      </c>
      <c r="H98" s="7">
        <v>1.0</v>
      </c>
      <c r="I98" s="6">
        <v>0.593055555555357</v>
      </c>
      <c r="J98" s="6" t="s">
        <v>30</v>
      </c>
      <c r="K98" s="5" t="s">
        <v>31</v>
      </c>
      <c r="L98" s="5" t="s">
        <v>32</v>
      </c>
      <c r="M98" s="5" t="s">
        <v>33</v>
      </c>
      <c r="N98" s="5" t="s">
        <v>34</v>
      </c>
      <c r="O98" s="5"/>
      <c r="P98" s="5" t="s">
        <v>35</v>
      </c>
      <c r="Q98" s="6">
        <f t="shared" si="1"/>
        <v>0.5930555556</v>
      </c>
      <c r="R98" s="6">
        <f t="shared" si="2"/>
        <v>0.5944444444</v>
      </c>
      <c r="S98" s="6"/>
      <c r="T98" s="6"/>
      <c r="U98" s="5"/>
      <c r="V98" s="5" t="s">
        <v>87</v>
      </c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3">
        <v>45791.0</v>
      </c>
      <c r="B99" s="4" t="s">
        <v>22</v>
      </c>
      <c r="C99" s="4" t="s">
        <v>23</v>
      </c>
      <c r="D99" s="4" t="s">
        <v>24</v>
      </c>
      <c r="E99" s="5" t="s">
        <v>25</v>
      </c>
      <c r="F99" s="6">
        <v>0.25069444444444444</v>
      </c>
      <c r="G99" s="6">
        <v>0.25069444444444444</v>
      </c>
      <c r="H99" s="7">
        <v>2.0</v>
      </c>
      <c r="I99" s="6">
        <v>0.594444444444245</v>
      </c>
      <c r="J99" s="6" t="s">
        <v>29</v>
      </c>
      <c r="K99" s="5"/>
      <c r="L99" s="5"/>
      <c r="M99" s="5"/>
      <c r="N99" s="5"/>
      <c r="O99" s="5"/>
      <c r="P99" s="5"/>
      <c r="Q99" s="6" t="str">
        <f t="shared" si="1"/>
        <v/>
      </c>
      <c r="R99" s="6" t="str">
        <f t="shared" si="2"/>
        <v/>
      </c>
      <c r="S99" s="6"/>
      <c r="T99" s="6"/>
      <c r="U99" s="5"/>
      <c r="V99" s="5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3">
        <v>45791.0</v>
      </c>
      <c r="B100" s="4" t="s">
        <v>22</v>
      </c>
      <c r="C100" s="4" t="s">
        <v>23</v>
      </c>
      <c r="D100" s="4" t="s">
        <v>24</v>
      </c>
      <c r="E100" s="5" t="s">
        <v>25</v>
      </c>
      <c r="F100" s="6">
        <v>0.25069444444444444</v>
      </c>
      <c r="G100" s="6">
        <v>0.25069444444444444</v>
      </c>
      <c r="H100" s="7">
        <v>2.0</v>
      </c>
      <c r="I100" s="6">
        <v>0.603472222222017</v>
      </c>
      <c r="J100" s="6" t="s">
        <v>26</v>
      </c>
      <c r="K100" s="5"/>
      <c r="L100" s="5"/>
      <c r="M100" s="5"/>
      <c r="N100" s="5"/>
      <c r="O100" s="5"/>
      <c r="P100" s="5" t="s">
        <v>35</v>
      </c>
      <c r="Q100" s="6" t="str">
        <f t="shared" si="1"/>
        <v/>
      </c>
      <c r="R100" s="6" t="str">
        <f t="shared" si="2"/>
        <v/>
      </c>
      <c r="S100" s="6"/>
      <c r="T100" s="6"/>
      <c r="U100" s="5"/>
      <c r="V100" s="5" t="s">
        <v>42</v>
      </c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3">
        <v>45791.0</v>
      </c>
      <c r="B101" s="4" t="s">
        <v>22</v>
      </c>
      <c r="C101" s="4" t="s">
        <v>23</v>
      </c>
      <c r="D101" s="4" t="s">
        <v>24</v>
      </c>
      <c r="E101" s="5" t="s">
        <v>25</v>
      </c>
      <c r="F101" s="6">
        <v>0.25069444444444444</v>
      </c>
      <c r="G101" s="6">
        <v>0.25069444444444444</v>
      </c>
      <c r="H101" s="7">
        <v>2.0</v>
      </c>
      <c r="I101" s="6">
        <v>0.609722222222013</v>
      </c>
      <c r="J101" s="6" t="s">
        <v>29</v>
      </c>
      <c r="K101" s="5"/>
      <c r="L101" s="5"/>
      <c r="M101" s="5"/>
      <c r="N101" s="5"/>
      <c r="O101" s="5"/>
      <c r="P101" s="5"/>
      <c r="Q101" s="6" t="str">
        <f t="shared" si="1"/>
        <v/>
      </c>
      <c r="R101" s="6" t="str">
        <f t="shared" si="2"/>
        <v/>
      </c>
      <c r="S101" s="6"/>
      <c r="T101" s="6"/>
      <c r="U101" s="5"/>
      <c r="V101" s="5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3">
        <v>45791.0</v>
      </c>
      <c r="B102" s="4" t="s">
        <v>22</v>
      </c>
      <c r="C102" s="4" t="s">
        <v>23</v>
      </c>
      <c r="D102" s="4" t="s">
        <v>24</v>
      </c>
      <c r="E102" s="5" t="s">
        <v>25</v>
      </c>
      <c r="F102" s="6">
        <v>0.25069444444444444</v>
      </c>
      <c r="G102" s="6">
        <v>0.25069444444444444</v>
      </c>
      <c r="H102" s="7">
        <v>1.0</v>
      </c>
      <c r="I102" s="6">
        <v>0.615972222222009</v>
      </c>
      <c r="J102" s="6" t="s">
        <v>26</v>
      </c>
      <c r="K102" s="5"/>
      <c r="L102" s="5"/>
      <c r="M102" s="5"/>
      <c r="N102" s="5"/>
      <c r="O102" s="5"/>
      <c r="P102" s="5" t="s">
        <v>35</v>
      </c>
      <c r="Q102" s="6" t="str">
        <f t="shared" si="1"/>
        <v/>
      </c>
      <c r="R102" s="6" t="str">
        <f t="shared" si="2"/>
        <v/>
      </c>
      <c r="S102" s="6"/>
      <c r="T102" s="6"/>
      <c r="U102" s="5"/>
      <c r="V102" s="5" t="s">
        <v>42</v>
      </c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3">
        <v>45791.0</v>
      </c>
      <c r="B103" s="4" t="s">
        <v>22</v>
      </c>
      <c r="C103" s="4" t="s">
        <v>23</v>
      </c>
      <c r="D103" s="4" t="s">
        <v>24</v>
      </c>
      <c r="E103" s="5" t="s">
        <v>25</v>
      </c>
      <c r="F103" s="6">
        <v>0.25069444444444444</v>
      </c>
      <c r="G103" s="6">
        <v>0.25069444444444444</v>
      </c>
      <c r="H103" s="7">
        <v>1.0</v>
      </c>
      <c r="I103" s="6">
        <v>0.619444444444229</v>
      </c>
      <c r="J103" s="6" t="s">
        <v>29</v>
      </c>
      <c r="K103" s="5"/>
      <c r="L103" s="5"/>
      <c r="M103" s="5"/>
      <c r="N103" s="5"/>
      <c r="O103" s="5"/>
      <c r="P103" s="5"/>
      <c r="Q103" s="6" t="str">
        <f t="shared" si="1"/>
        <v/>
      </c>
      <c r="R103" s="6" t="str">
        <f t="shared" si="2"/>
        <v/>
      </c>
      <c r="S103" s="6"/>
      <c r="T103" s="6"/>
      <c r="U103" s="5"/>
      <c r="V103" s="5" t="s">
        <v>88</v>
      </c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3">
        <v>45791.0</v>
      </c>
      <c r="B104" s="4" t="s">
        <v>22</v>
      </c>
      <c r="C104" s="4" t="s">
        <v>23</v>
      </c>
      <c r="D104" s="4" t="s">
        <v>24</v>
      </c>
      <c r="E104" s="5" t="s">
        <v>25</v>
      </c>
      <c r="F104" s="6">
        <v>0.25069444444444444</v>
      </c>
      <c r="G104" s="6">
        <v>0.25069444444444444</v>
      </c>
      <c r="H104" s="7">
        <v>0.0</v>
      </c>
      <c r="I104" s="6">
        <v>0.624999999999781</v>
      </c>
      <c r="J104" s="6" t="s">
        <v>89</v>
      </c>
      <c r="K104" s="5"/>
      <c r="L104" s="5"/>
      <c r="M104" s="5"/>
      <c r="N104" s="5"/>
      <c r="O104" s="5"/>
      <c r="P104" s="5"/>
      <c r="Q104" s="6" t="str">
        <f t="shared" si="1"/>
        <v/>
      </c>
      <c r="R104" s="6" t="str">
        <f t="shared" si="2"/>
        <v/>
      </c>
      <c r="S104" s="6"/>
      <c r="T104" s="6"/>
      <c r="U104" s="5"/>
      <c r="V104" s="5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3">
        <v>45791.0</v>
      </c>
      <c r="B105" s="4" t="s">
        <v>22</v>
      </c>
      <c r="C105" s="4" t="s">
        <v>23</v>
      </c>
      <c r="D105" s="4" t="s">
        <v>24</v>
      </c>
      <c r="E105" s="5" t="s">
        <v>25</v>
      </c>
      <c r="F105" s="6">
        <v>0.25069444444444444</v>
      </c>
      <c r="G105" s="6">
        <v>0.25069444444444444</v>
      </c>
      <c r="H105" s="7">
        <v>0.0</v>
      </c>
      <c r="I105" s="6">
        <v>0.631944444444221</v>
      </c>
      <c r="J105" s="6" t="s">
        <v>89</v>
      </c>
      <c r="K105" s="5"/>
      <c r="L105" s="5"/>
      <c r="M105" s="5"/>
      <c r="N105" s="5"/>
      <c r="O105" s="5"/>
      <c r="P105" s="5"/>
      <c r="Q105" s="6" t="str">
        <f t="shared" si="1"/>
        <v/>
      </c>
      <c r="R105" s="6" t="str">
        <f>IF(J105="F",#REF!,"")</f>
        <v/>
      </c>
      <c r="S105" s="6"/>
      <c r="T105" s="6"/>
      <c r="U105" s="5"/>
      <c r="V105" s="5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3">
        <v>45791.0</v>
      </c>
      <c r="B106" s="4" t="s">
        <v>22</v>
      </c>
      <c r="C106" s="4" t="s">
        <v>23</v>
      </c>
      <c r="D106" s="4" t="s">
        <v>24</v>
      </c>
      <c r="E106" s="5" t="s">
        <v>25</v>
      </c>
      <c r="F106" s="6">
        <v>0.25069444444444444</v>
      </c>
      <c r="G106" s="6">
        <v>0.25069444444444444</v>
      </c>
      <c r="H106" s="7">
        <v>1.0</v>
      </c>
      <c r="I106" s="6">
        <v>0.638888888888889</v>
      </c>
      <c r="J106" s="6" t="s">
        <v>26</v>
      </c>
      <c r="K106" s="5"/>
      <c r="L106" s="5"/>
      <c r="M106" s="5"/>
      <c r="N106" s="5"/>
      <c r="O106" s="5"/>
      <c r="P106" s="5" t="s">
        <v>35</v>
      </c>
      <c r="Q106" s="6" t="str">
        <f t="shared" si="1"/>
        <v/>
      </c>
      <c r="R106" s="6" t="str">
        <f>IF(J106="F",I107,"")</f>
        <v/>
      </c>
      <c r="S106" s="6"/>
      <c r="T106" s="6"/>
      <c r="U106" s="5"/>
      <c r="V106" s="5" t="s">
        <v>90</v>
      </c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9"/>
      <c r="B107" s="9"/>
      <c r="C107" s="9"/>
      <c r="D107" s="9"/>
      <c r="E107" s="9"/>
      <c r="F107" s="10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L2:L106">
      <formula1>'drop down menu'!$C$2:$C$13</formula1>
    </dataValidation>
    <dataValidation type="list" allowBlank="1" showErrorMessage="1" sqref="E2:E106">
      <formula1>'drop down menu'!$AH$2:$AH$10</formula1>
    </dataValidation>
    <dataValidation type="list" allowBlank="1" showErrorMessage="1" sqref="H2:H106">
      <formula1>'drop down menu'!$A$2:$A$4</formula1>
    </dataValidation>
    <dataValidation type="list" allowBlank="1" showErrorMessage="1" sqref="M2:M106">
      <formula1>'drop down menu'!$D$2:$D$9</formula1>
    </dataValidation>
    <dataValidation type="list" allowBlank="1" showErrorMessage="1" sqref="J2:J106">
      <formula1>'drop down menu'!$B$2:$B$7</formula1>
    </dataValidation>
    <dataValidation type="list" allowBlank="1" showErrorMessage="1" sqref="P2:P106">
      <formula1>'drop down menu'!$F$2:$F$4</formula1>
    </dataValidation>
    <dataValidation type="list" allowBlank="1" showErrorMessage="1" sqref="N2:N106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91</v>
      </c>
    </row>
    <row r="2">
      <c r="A2" s="14" t="s">
        <v>92</v>
      </c>
    </row>
    <row r="3">
      <c r="A3" s="14" t="s">
        <v>93</v>
      </c>
    </row>
    <row r="4">
      <c r="A4" s="14" t="s">
        <v>94</v>
      </c>
    </row>
    <row r="5">
      <c r="A5" s="14" t="s">
        <v>95</v>
      </c>
    </row>
    <row r="6">
      <c r="A6" s="14" t="s">
        <v>96</v>
      </c>
    </row>
    <row r="7">
      <c r="A7" s="14" t="s">
        <v>97</v>
      </c>
      <c r="B7" s="15"/>
    </row>
    <row r="8">
      <c r="A8" s="14" t="s">
        <v>98</v>
      </c>
      <c r="B8" s="15"/>
    </row>
    <row r="9">
      <c r="A9" s="14" t="s">
        <v>99</v>
      </c>
      <c r="B9" s="15"/>
    </row>
    <row r="10">
      <c r="A10" s="14" t="s">
        <v>100</v>
      </c>
    </row>
    <row r="11">
      <c r="A11" s="14" t="s">
        <v>101</v>
      </c>
      <c r="B11" s="15"/>
    </row>
    <row r="12">
      <c r="A12" s="14" t="s">
        <v>102</v>
      </c>
      <c r="B12" s="15"/>
    </row>
    <row r="13">
      <c r="A13" s="14" t="s">
        <v>103</v>
      </c>
    </row>
    <row r="14">
      <c r="A14" s="14" t="s">
        <v>104</v>
      </c>
    </row>
    <row r="15">
      <c r="A15" s="14" t="s">
        <v>105</v>
      </c>
      <c r="B15" s="15"/>
    </row>
    <row r="16">
      <c r="A16" s="14" t="s">
        <v>106</v>
      </c>
      <c r="B16" s="15"/>
    </row>
    <row r="17">
      <c r="A17" s="14" t="s">
        <v>107</v>
      </c>
    </row>
    <row r="18">
      <c r="A18" s="14" t="s">
        <v>108</v>
      </c>
    </row>
    <row r="19">
      <c r="A19" s="14" t="s">
        <v>109</v>
      </c>
    </row>
    <row r="20">
      <c r="A20" s="14" t="s">
        <v>110</v>
      </c>
    </row>
    <row r="21">
      <c r="A21" s="14" t="s">
        <v>111</v>
      </c>
    </row>
    <row r="22">
      <c r="A22" s="14" t="s">
        <v>112</v>
      </c>
    </row>
    <row r="23">
      <c r="A23" s="14" t="s">
        <v>113</v>
      </c>
    </row>
    <row r="24">
      <c r="A24" s="14" t="s">
        <v>114</v>
      </c>
    </row>
    <row r="25">
      <c r="A25" s="14" t="s">
        <v>115</v>
      </c>
    </row>
    <row r="26">
      <c r="A26" s="14" t="s">
        <v>116</v>
      </c>
    </row>
    <row r="27">
      <c r="A27" s="14" t="s">
        <v>117</v>
      </c>
    </row>
    <row r="28">
      <c r="A28" s="14" t="s">
        <v>118</v>
      </c>
    </row>
    <row r="29">
      <c r="A29" s="14" t="s">
        <v>119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120</v>
      </c>
    </row>
    <row r="2">
      <c r="A2" s="16" t="s">
        <v>121</v>
      </c>
    </row>
    <row r="3">
      <c r="A3" s="16" t="s">
        <v>122</v>
      </c>
    </row>
    <row r="4">
      <c r="A4" s="16" t="s">
        <v>123</v>
      </c>
    </row>
    <row r="5">
      <c r="A5" s="16" t="s">
        <v>124</v>
      </c>
      <c r="B5" s="15"/>
    </row>
    <row r="6">
      <c r="A6" s="16" t="s">
        <v>125</v>
      </c>
    </row>
    <row r="7">
      <c r="A7" s="16" t="s">
        <v>126</v>
      </c>
    </row>
    <row r="8">
      <c r="A8" s="16" t="s">
        <v>127</v>
      </c>
      <c r="B8" s="15"/>
    </row>
    <row r="9">
      <c r="A9" s="16" t="s">
        <v>128</v>
      </c>
      <c r="B9" s="15"/>
    </row>
    <row r="10">
      <c r="A10" s="16" t="s">
        <v>129</v>
      </c>
      <c r="B10" s="15"/>
    </row>
    <row r="11">
      <c r="A11" s="16" t="s">
        <v>130</v>
      </c>
      <c r="B11" s="15"/>
    </row>
    <row r="12">
      <c r="A12" s="16" t="s">
        <v>131</v>
      </c>
      <c r="B12" s="15"/>
    </row>
    <row r="13">
      <c r="A13" s="16" t="s">
        <v>132</v>
      </c>
      <c r="B13" s="15"/>
    </row>
    <row r="14">
      <c r="A14" s="16" t="s">
        <v>133</v>
      </c>
      <c r="B14" s="15"/>
    </row>
    <row r="15">
      <c r="A15" s="16" t="s">
        <v>134</v>
      </c>
      <c r="B15" s="15"/>
    </row>
    <row r="16">
      <c r="A16" s="16" t="s">
        <v>135</v>
      </c>
    </row>
    <row r="17">
      <c r="A17" s="16" t="s">
        <v>136</v>
      </c>
    </row>
    <row r="18">
      <c r="A18" s="16" t="s">
        <v>137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138</v>
      </c>
      <c r="B1" s="18" t="s">
        <v>139</v>
      </c>
      <c r="C1" s="17" t="s">
        <v>140</v>
      </c>
      <c r="D1" s="17" t="s">
        <v>141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142</v>
      </c>
      <c r="B2" s="22"/>
      <c r="C2" s="21" t="s">
        <v>143</v>
      </c>
      <c r="D2" s="21" t="s">
        <v>143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144</v>
      </c>
      <c r="B3" s="22"/>
      <c r="C3" s="21" t="s">
        <v>143</v>
      </c>
      <c r="D3" s="21" t="s">
        <v>143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145</v>
      </c>
      <c r="B4" s="22"/>
      <c r="C4" s="21" t="s">
        <v>146</v>
      </c>
      <c r="D4" s="21" t="s">
        <v>147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148</v>
      </c>
      <c r="B5" s="22"/>
      <c r="C5" s="21" t="s">
        <v>146</v>
      </c>
      <c r="D5" s="21" t="s">
        <v>147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149</v>
      </c>
      <c r="B6" s="22" t="s">
        <v>150</v>
      </c>
      <c r="C6" s="21" t="s">
        <v>151</v>
      </c>
      <c r="D6" s="21" t="s">
        <v>152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153</v>
      </c>
      <c r="B7" s="22"/>
      <c r="C7" s="21" t="s">
        <v>154</v>
      </c>
      <c r="D7" s="21" t="s">
        <v>155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156</v>
      </c>
      <c r="B8" s="22" t="s">
        <v>157</v>
      </c>
      <c r="C8" s="21" t="s">
        <v>158</v>
      </c>
      <c r="D8" s="21" t="s">
        <v>159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160</v>
      </c>
      <c r="B9" s="22" t="s">
        <v>161</v>
      </c>
      <c r="C9" s="21" t="s">
        <v>162</v>
      </c>
      <c r="D9" s="21" t="s">
        <v>163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164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72</v>
      </c>
      <c r="B11" s="22" t="s">
        <v>165</v>
      </c>
      <c r="C11" s="21" t="s">
        <v>166</v>
      </c>
      <c r="D11" s="21" t="s">
        <v>167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168</v>
      </c>
      <c r="B12" s="22" t="s">
        <v>169</v>
      </c>
      <c r="C12" s="21" t="s">
        <v>143</v>
      </c>
      <c r="D12" s="21" t="s">
        <v>143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170</v>
      </c>
      <c r="B13" s="22" t="s">
        <v>171</v>
      </c>
      <c r="C13" s="21" t="s">
        <v>172</v>
      </c>
      <c r="D13" s="21" t="s">
        <v>173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174</v>
      </c>
      <c r="B14" s="22"/>
      <c r="C14" s="21" t="s">
        <v>175</v>
      </c>
      <c r="D14" s="21" t="s">
        <v>176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177</v>
      </c>
      <c r="B15" s="22"/>
      <c r="C15" s="21" t="s">
        <v>178</v>
      </c>
      <c r="D15" s="21" t="s">
        <v>179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180</v>
      </c>
      <c r="B16" s="22" t="s">
        <v>181</v>
      </c>
      <c r="C16" s="21" t="s">
        <v>182</v>
      </c>
      <c r="D16" s="21" t="s">
        <v>152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183</v>
      </c>
      <c r="B17" s="22"/>
      <c r="C17" s="21" t="s">
        <v>175</v>
      </c>
      <c r="D17" s="21" t="s">
        <v>184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31</v>
      </c>
      <c r="B18" s="22" t="s">
        <v>185</v>
      </c>
      <c r="C18" s="21" t="s">
        <v>143</v>
      </c>
      <c r="D18" s="21" t="s">
        <v>143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77</v>
      </c>
      <c r="B19" s="22" t="s">
        <v>186</v>
      </c>
      <c r="C19" s="21" t="s">
        <v>187</v>
      </c>
      <c r="D19" s="21" t="s">
        <v>188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189</v>
      </c>
      <c r="B20" s="22"/>
      <c r="C20" s="21" t="s">
        <v>143</v>
      </c>
      <c r="D20" s="21" t="s">
        <v>143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190</v>
      </c>
      <c r="B21" s="22"/>
      <c r="C21" s="21" t="s">
        <v>143</v>
      </c>
      <c r="D21" s="21" t="s">
        <v>143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191</v>
      </c>
      <c r="B22" s="22" t="s">
        <v>192</v>
      </c>
      <c r="C22" s="21" t="s">
        <v>193</v>
      </c>
      <c r="D22" s="21" t="s">
        <v>155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194</v>
      </c>
      <c r="B23" s="22"/>
      <c r="C23" s="21" t="s">
        <v>143</v>
      </c>
      <c r="D23" s="21" t="s">
        <v>143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195</v>
      </c>
      <c r="B24" s="22"/>
      <c r="C24" s="21" t="s">
        <v>143</v>
      </c>
      <c r="D24" s="21" t="s">
        <v>143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196</v>
      </c>
      <c r="B25" s="22" t="s">
        <v>197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198</v>
      </c>
      <c r="B26" s="22"/>
      <c r="C26" s="21" t="s">
        <v>143</v>
      </c>
      <c r="D26" s="21" t="s">
        <v>143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199</v>
      </c>
      <c r="B27" s="22"/>
      <c r="C27" s="21" t="s">
        <v>200</v>
      </c>
      <c r="D27" s="21" t="s">
        <v>173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201</v>
      </c>
      <c r="B28" s="22" t="s">
        <v>202</v>
      </c>
      <c r="C28" s="21" t="s">
        <v>203</v>
      </c>
      <c r="D28" s="21" t="s">
        <v>204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205</v>
      </c>
      <c r="B29" s="22"/>
      <c r="C29" s="21" t="s">
        <v>143</v>
      </c>
      <c r="D29" s="21" t="s">
        <v>143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206</v>
      </c>
      <c r="B30" s="22"/>
      <c r="C30" s="21" t="s">
        <v>143</v>
      </c>
      <c r="D30" s="21" t="s">
        <v>143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207</v>
      </c>
      <c r="B31" s="22"/>
      <c r="C31" s="21" t="s">
        <v>143</v>
      </c>
      <c r="D31" s="21" t="s">
        <v>143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208</v>
      </c>
      <c r="B32" s="22"/>
      <c r="C32" s="21" t="s">
        <v>209</v>
      </c>
      <c r="D32" s="21" t="s">
        <v>210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211</v>
      </c>
      <c r="B33" s="22" t="s">
        <v>212</v>
      </c>
      <c r="C33" s="21" t="s">
        <v>143</v>
      </c>
      <c r="D33" s="21" t="s">
        <v>147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213</v>
      </c>
      <c r="B34" s="22"/>
      <c r="C34" s="21" t="s">
        <v>214</v>
      </c>
      <c r="D34" s="21" t="s">
        <v>147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215</v>
      </c>
      <c r="B35" s="22"/>
      <c r="C35" s="21" t="s">
        <v>143</v>
      </c>
      <c r="D35" s="21" t="s">
        <v>147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216</v>
      </c>
      <c r="B36" s="22" t="s">
        <v>217</v>
      </c>
      <c r="C36" s="21" t="s">
        <v>218</v>
      </c>
      <c r="D36" s="21" t="s">
        <v>219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220</v>
      </c>
      <c r="B37" s="22"/>
      <c r="C37" s="21" t="s">
        <v>143</v>
      </c>
      <c r="D37" s="21" t="s">
        <v>143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221</v>
      </c>
      <c r="B38" s="22"/>
      <c r="C38" s="21" t="s">
        <v>222</v>
      </c>
      <c r="D38" s="21" t="s">
        <v>223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224</v>
      </c>
      <c r="B39" s="24" t="s">
        <v>225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226</v>
      </c>
      <c r="B40" s="26" t="s">
        <v>227</v>
      </c>
      <c r="C40" s="27" t="s">
        <v>228</v>
      </c>
      <c r="D40" s="25" t="s">
        <v>229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230</v>
      </c>
      <c r="B41" s="26" t="s">
        <v>231</v>
      </c>
      <c r="C41" s="27" t="s">
        <v>232</v>
      </c>
      <c r="D41" s="25" t="s">
        <v>229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233</v>
      </c>
      <c r="B42" s="22"/>
      <c r="C42" s="21" t="s">
        <v>143</v>
      </c>
      <c r="D42" s="21" t="s">
        <v>143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234</v>
      </c>
      <c r="B43" s="26" t="s">
        <v>235</v>
      </c>
      <c r="C43" s="27" t="s">
        <v>236</v>
      </c>
      <c r="D43" s="25" t="s">
        <v>237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238</v>
      </c>
      <c r="B44" s="22"/>
      <c r="C44" s="21" t="s">
        <v>239</v>
      </c>
      <c r="D44" s="21" t="s">
        <v>223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240</v>
      </c>
      <c r="B45" s="22" t="s">
        <v>241</v>
      </c>
      <c r="C45" s="21" t="s">
        <v>242</v>
      </c>
      <c r="D45" s="21" t="s">
        <v>243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244</v>
      </c>
      <c r="B46" s="22" t="s">
        <v>245</v>
      </c>
      <c r="C46" s="21" t="s">
        <v>246</v>
      </c>
      <c r="D46" s="21" t="s">
        <v>247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248</v>
      </c>
      <c r="B47" s="22" t="s">
        <v>249</v>
      </c>
      <c r="C47" s="21" t="s">
        <v>250</v>
      </c>
      <c r="D47" s="21" t="s">
        <v>251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252</v>
      </c>
      <c r="B48" s="22"/>
      <c r="C48" s="21" t="s">
        <v>143</v>
      </c>
      <c r="D48" s="21" t="s">
        <v>143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253</v>
      </c>
      <c r="B49" s="22"/>
      <c r="C49" s="21" t="s">
        <v>254</v>
      </c>
      <c r="D49" s="21" t="s">
        <v>255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256</v>
      </c>
      <c r="B50" s="22"/>
      <c r="C50" s="21" t="s">
        <v>257</v>
      </c>
      <c r="D50" s="21" t="s">
        <v>255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258</v>
      </c>
      <c r="B51" s="26"/>
      <c r="C51" s="27" t="s">
        <v>259</v>
      </c>
      <c r="D51" s="25" t="s">
        <v>223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260</v>
      </c>
      <c r="B52" s="22"/>
      <c r="C52" s="21" t="s">
        <v>261</v>
      </c>
      <c r="D52" s="21" t="s">
        <v>262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263</v>
      </c>
      <c r="B53" s="26"/>
      <c r="C53" s="27" t="s">
        <v>264</v>
      </c>
      <c r="D53" s="25" t="s">
        <v>265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266</v>
      </c>
      <c r="B54" s="26" t="s">
        <v>267</v>
      </c>
      <c r="C54" s="27" t="s">
        <v>268</v>
      </c>
      <c r="D54" s="25" t="s">
        <v>229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269</v>
      </c>
      <c r="B55" s="26" t="s">
        <v>270</v>
      </c>
      <c r="C55" s="27" t="s">
        <v>271</v>
      </c>
      <c r="D55" s="25" t="s">
        <v>272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273</v>
      </c>
      <c r="B56" s="22"/>
      <c r="C56" s="21" t="s">
        <v>143</v>
      </c>
      <c r="D56" s="21" t="s">
        <v>143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274</v>
      </c>
      <c r="B57" s="26" t="s">
        <v>275</v>
      </c>
      <c r="C57" s="27" t="s">
        <v>276</v>
      </c>
      <c r="D57" s="25" t="s">
        <v>277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278</v>
      </c>
      <c r="B58" s="26"/>
      <c r="C58" s="27" t="s">
        <v>279</v>
      </c>
      <c r="D58" s="25" t="s">
        <v>237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280</v>
      </c>
      <c r="B59" s="22" t="s">
        <v>281</v>
      </c>
      <c r="C59" s="21" t="s">
        <v>282</v>
      </c>
      <c r="D59" s="21" t="s">
        <v>219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283</v>
      </c>
      <c r="B60" s="22"/>
      <c r="C60" s="21" t="s">
        <v>143</v>
      </c>
      <c r="D60" s="21" t="s">
        <v>143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284</v>
      </c>
      <c r="B61" s="22" t="s">
        <v>285</v>
      </c>
      <c r="C61" s="21" t="s">
        <v>286</v>
      </c>
      <c r="D61" s="21" t="s">
        <v>159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287</v>
      </c>
      <c r="B62" s="22" t="s">
        <v>288</v>
      </c>
      <c r="C62" s="21" t="s">
        <v>289</v>
      </c>
      <c r="D62" s="21" t="s">
        <v>159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290</v>
      </c>
      <c r="B63" s="22"/>
      <c r="C63" s="21" t="s">
        <v>143</v>
      </c>
      <c r="D63" s="21" t="s">
        <v>143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291</v>
      </c>
      <c r="B64" s="26"/>
      <c r="C64" s="27" t="s">
        <v>292</v>
      </c>
      <c r="D64" s="25" t="s">
        <v>293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42</v>
      </c>
      <c r="B65" s="26" t="s">
        <v>294</v>
      </c>
      <c r="C65" s="27" t="s">
        <v>295</v>
      </c>
      <c r="D65" s="25" t="s">
        <v>296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297</v>
      </c>
      <c r="B66" s="26" t="s">
        <v>298</v>
      </c>
      <c r="C66" s="27" t="s">
        <v>299</v>
      </c>
      <c r="D66" s="25" t="s">
        <v>163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300</v>
      </c>
      <c r="B67" s="26" t="s">
        <v>301</v>
      </c>
      <c r="C67" s="27" t="s">
        <v>302</v>
      </c>
      <c r="D67" s="25" t="s">
        <v>303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304</v>
      </c>
      <c r="B68" s="26" t="s">
        <v>305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306</v>
      </c>
      <c r="B69" s="22"/>
      <c r="C69" s="21" t="s">
        <v>307</v>
      </c>
      <c r="D69" s="21" t="s">
        <v>229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308</v>
      </c>
      <c r="B70" s="22"/>
      <c r="C70" s="21" t="s">
        <v>307</v>
      </c>
      <c r="D70" s="21" t="s">
        <v>229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309</v>
      </c>
      <c r="B71" s="22"/>
      <c r="C71" s="21" t="s">
        <v>310</v>
      </c>
      <c r="D71" s="21" t="s">
        <v>311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312</v>
      </c>
      <c r="B72" s="22"/>
      <c r="C72" s="21" t="s">
        <v>313</v>
      </c>
      <c r="D72" s="21" t="s">
        <v>229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314</v>
      </c>
      <c r="B73" s="22" t="s">
        <v>315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316</v>
      </c>
      <c r="B74" s="22" t="s">
        <v>317</v>
      </c>
      <c r="C74" s="21" t="s">
        <v>143</v>
      </c>
      <c r="D74" s="21" t="s">
        <v>143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318</v>
      </c>
      <c r="B75" s="22" t="s">
        <v>319</v>
      </c>
      <c r="C75" s="21" t="s">
        <v>320</v>
      </c>
      <c r="D75" s="21" t="s">
        <v>219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321</v>
      </c>
      <c r="B76" s="26" t="s">
        <v>322</v>
      </c>
      <c r="C76" s="27" t="s">
        <v>323</v>
      </c>
      <c r="D76" s="25" t="s">
        <v>324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325</v>
      </c>
      <c r="B77" s="22" t="s">
        <v>326</v>
      </c>
      <c r="C77" s="21" t="s">
        <v>327</v>
      </c>
      <c r="D77" s="21" t="s">
        <v>324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328</v>
      </c>
      <c r="B78" s="22"/>
      <c r="C78" s="21" t="s">
        <v>329</v>
      </c>
      <c r="D78" s="21" t="s">
        <v>167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330</v>
      </c>
      <c r="B79" s="26" t="s">
        <v>331</v>
      </c>
      <c r="C79" s="27" t="s">
        <v>332</v>
      </c>
      <c r="D79" s="25" t="s">
        <v>155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333</v>
      </c>
      <c r="B80" s="22" t="s">
        <v>334</v>
      </c>
      <c r="C80" s="21" t="s">
        <v>143</v>
      </c>
      <c r="D80" s="21" t="s">
        <v>143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335</v>
      </c>
      <c r="B81" s="22" t="s">
        <v>336</v>
      </c>
      <c r="C81" s="21" t="s">
        <v>337</v>
      </c>
      <c r="D81" s="21" t="s">
        <v>338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339</v>
      </c>
      <c r="B82" s="26"/>
      <c r="C82" s="27" t="s">
        <v>340</v>
      </c>
      <c r="D82" s="25" t="s">
        <v>265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341</v>
      </c>
      <c r="B83" s="26"/>
      <c r="C83" s="27" t="s">
        <v>340</v>
      </c>
      <c r="D83" s="25" t="s">
        <v>265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341</v>
      </c>
      <c r="B84" s="22"/>
      <c r="C84" s="21" t="s">
        <v>342</v>
      </c>
      <c r="D84" s="21" t="s">
        <v>338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343</v>
      </c>
      <c r="B85" s="26"/>
      <c r="C85" s="27" t="s">
        <v>344</v>
      </c>
      <c r="D85" s="25" t="s">
        <v>345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343</v>
      </c>
      <c r="B86" s="22"/>
      <c r="C86" s="21" t="s">
        <v>346</v>
      </c>
      <c r="D86" s="21" t="s">
        <v>229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347</v>
      </c>
      <c r="B87" s="22"/>
      <c r="C87" s="21" t="s">
        <v>348</v>
      </c>
      <c r="D87" s="21" t="s">
        <v>219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349</v>
      </c>
      <c r="B88" s="26" t="s">
        <v>350</v>
      </c>
      <c r="C88" s="27" t="s">
        <v>351</v>
      </c>
      <c r="D88" s="25" t="s">
        <v>219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76</v>
      </c>
      <c r="B89" s="26" t="s">
        <v>352</v>
      </c>
      <c r="C89" s="27" t="s">
        <v>353</v>
      </c>
      <c r="D89" s="25" t="s">
        <v>219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354</v>
      </c>
      <c r="B90" s="22" t="s">
        <v>355</v>
      </c>
      <c r="C90" s="21" t="s">
        <v>356</v>
      </c>
      <c r="D90" s="21" t="s">
        <v>357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358</v>
      </c>
      <c r="B91" s="22"/>
      <c r="C91" s="21" t="s">
        <v>359</v>
      </c>
      <c r="D91" s="21" t="s">
        <v>360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361</v>
      </c>
      <c r="B92" s="22"/>
      <c r="C92" s="21" t="s">
        <v>362</v>
      </c>
      <c r="D92" s="21" t="s">
        <v>311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363</v>
      </c>
      <c r="B93" s="22"/>
      <c r="C93" s="21" t="s">
        <v>364</v>
      </c>
      <c r="D93" s="21" t="s">
        <v>143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365</v>
      </c>
      <c r="B94" s="22" t="s">
        <v>366</v>
      </c>
      <c r="C94" s="21" t="s">
        <v>367</v>
      </c>
      <c r="D94" s="21" t="s">
        <v>223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368</v>
      </c>
      <c r="B95" s="26"/>
      <c r="C95" s="27" t="s">
        <v>369</v>
      </c>
      <c r="D95" s="25" t="s">
        <v>272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370</v>
      </c>
      <c r="B96" s="26"/>
      <c r="C96" s="27" t="s">
        <v>371</v>
      </c>
      <c r="D96" s="25" t="s">
        <v>219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372</v>
      </c>
      <c r="B97" s="22"/>
      <c r="C97" s="21" t="s">
        <v>373</v>
      </c>
      <c r="D97" s="21" t="s">
        <v>374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375</v>
      </c>
      <c r="B98" s="22" t="s">
        <v>376</v>
      </c>
      <c r="C98" s="21" t="s">
        <v>377</v>
      </c>
      <c r="D98" s="21" t="s">
        <v>378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379</v>
      </c>
      <c r="B99" s="22" t="s">
        <v>380</v>
      </c>
      <c r="C99" s="21" t="s">
        <v>381</v>
      </c>
      <c r="D99" s="21" t="s">
        <v>378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382</v>
      </c>
      <c r="B100" s="26" t="s">
        <v>383</v>
      </c>
      <c r="C100" s="27" t="s">
        <v>384</v>
      </c>
      <c r="D100" s="25" t="s">
        <v>385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386</v>
      </c>
      <c r="B101" s="22" t="s">
        <v>387</v>
      </c>
      <c r="C101" s="21" t="s">
        <v>388</v>
      </c>
      <c r="D101" s="21" t="s">
        <v>296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389</v>
      </c>
      <c r="B102" s="22"/>
      <c r="C102" s="21" t="s">
        <v>143</v>
      </c>
      <c r="D102" s="21" t="s">
        <v>143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390</v>
      </c>
      <c r="B103" s="22" t="s">
        <v>391</v>
      </c>
      <c r="C103" s="21" t="s">
        <v>392</v>
      </c>
      <c r="D103" s="21" t="s">
        <v>393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394</v>
      </c>
      <c r="B104" s="22"/>
      <c r="C104" s="21" t="s">
        <v>395</v>
      </c>
      <c r="D104" s="21" t="s">
        <v>303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396</v>
      </c>
      <c r="B105" s="26" t="s">
        <v>397</v>
      </c>
      <c r="C105" s="27" t="s">
        <v>398</v>
      </c>
      <c r="D105" s="25" t="s">
        <v>163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399</v>
      </c>
      <c r="B106" s="22"/>
      <c r="C106" s="21" t="s">
        <v>143</v>
      </c>
      <c r="D106" s="21" t="s">
        <v>143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400</v>
      </c>
      <c r="B107" s="22"/>
      <c r="C107" s="21" t="s">
        <v>143</v>
      </c>
      <c r="D107" s="21" t="s">
        <v>143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401</v>
      </c>
      <c r="B108" s="28"/>
      <c r="C108" s="21" t="s">
        <v>402</v>
      </c>
      <c r="D108" s="21" t="s">
        <v>219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403</v>
      </c>
      <c r="B109" s="22"/>
      <c r="C109" s="21" t="s">
        <v>143</v>
      </c>
      <c r="D109" s="21" t="s">
        <v>143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404</v>
      </c>
      <c r="B110" s="22"/>
      <c r="C110" s="21" t="s">
        <v>143</v>
      </c>
      <c r="D110" s="21" t="s">
        <v>143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405</v>
      </c>
      <c r="B111" s="22" t="s">
        <v>406</v>
      </c>
      <c r="C111" s="21" t="s">
        <v>407</v>
      </c>
      <c r="D111" s="21" t="s">
        <v>262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408</v>
      </c>
      <c r="B112" s="22"/>
      <c r="C112" s="21" t="s">
        <v>409</v>
      </c>
      <c r="D112" s="21" t="s">
        <v>410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411</v>
      </c>
      <c r="B113" s="22" t="s">
        <v>412</v>
      </c>
      <c r="C113" s="21" t="s">
        <v>413</v>
      </c>
      <c r="D113" s="21" t="s">
        <v>255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414</v>
      </c>
      <c r="B114" s="22"/>
      <c r="C114" s="21" t="s">
        <v>143</v>
      </c>
      <c r="D114" s="21" t="s">
        <v>143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415</v>
      </c>
      <c r="B115" s="22" t="s">
        <v>416</v>
      </c>
      <c r="C115" s="21" t="s">
        <v>417</v>
      </c>
      <c r="D115" s="21" t="s">
        <v>418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419</v>
      </c>
      <c r="B116" s="26" t="s">
        <v>420</v>
      </c>
      <c r="C116" s="27" t="s">
        <v>421</v>
      </c>
      <c r="D116" s="25" t="s">
        <v>237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422</v>
      </c>
      <c r="B117" s="26" t="s">
        <v>423</v>
      </c>
      <c r="C117" s="27" t="s">
        <v>424</v>
      </c>
      <c r="D117" s="25" t="s">
        <v>360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425</v>
      </c>
      <c r="B118" s="26" t="s">
        <v>426</v>
      </c>
      <c r="C118" s="27" t="s">
        <v>427</v>
      </c>
      <c r="D118" s="25" t="s">
        <v>360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428</v>
      </c>
      <c r="B119" s="26" t="s">
        <v>429</v>
      </c>
      <c r="C119" s="27" t="s">
        <v>430</v>
      </c>
      <c r="D119" s="25" t="s">
        <v>360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83</v>
      </c>
      <c r="B120" s="22" t="s">
        <v>431</v>
      </c>
      <c r="C120" s="21" t="s">
        <v>432</v>
      </c>
      <c r="D120" s="21" t="s">
        <v>143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433</v>
      </c>
      <c r="B121" s="22" t="s">
        <v>434</v>
      </c>
      <c r="C121" s="21" t="s">
        <v>435</v>
      </c>
      <c r="D121" s="21" t="s">
        <v>360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436</v>
      </c>
      <c r="B122" s="22"/>
      <c r="C122" s="21" t="s">
        <v>437</v>
      </c>
      <c r="D122" s="21" t="s">
        <v>262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438</v>
      </c>
      <c r="B123" s="26" t="s">
        <v>439</v>
      </c>
      <c r="C123" s="27" t="s">
        <v>440</v>
      </c>
      <c r="D123" s="25" t="s">
        <v>324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62</v>
      </c>
      <c r="B124" s="26" t="s">
        <v>441</v>
      </c>
      <c r="C124" s="27" t="s">
        <v>442</v>
      </c>
      <c r="D124" s="25" t="s">
        <v>296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443</v>
      </c>
      <c r="B125" s="22" t="s">
        <v>444</v>
      </c>
      <c r="C125" s="21" t="s">
        <v>445</v>
      </c>
      <c r="D125" s="21" t="s">
        <v>184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446</v>
      </c>
      <c r="B126" s="26" t="s">
        <v>447</v>
      </c>
      <c r="C126" s="27" t="s">
        <v>448</v>
      </c>
      <c r="D126" s="25" t="s">
        <v>184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44</v>
      </c>
      <c r="B127" s="22" t="s">
        <v>449</v>
      </c>
      <c r="C127" s="21" t="s">
        <v>450</v>
      </c>
      <c r="D127" s="21" t="s">
        <v>184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451</v>
      </c>
      <c r="B128" s="22" t="s">
        <v>452</v>
      </c>
      <c r="C128" s="21" t="s">
        <v>143</v>
      </c>
      <c r="D128" s="21" t="s">
        <v>143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453</v>
      </c>
      <c r="B129" s="22" t="s">
        <v>454</v>
      </c>
      <c r="C129" s="21" t="s">
        <v>445</v>
      </c>
      <c r="D129" s="21" t="s">
        <v>184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455</v>
      </c>
      <c r="B130" s="22" t="s">
        <v>456</v>
      </c>
      <c r="C130" s="21" t="s">
        <v>457</v>
      </c>
      <c r="D130" s="21" t="s">
        <v>184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458</v>
      </c>
      <c r="B131" s="22" t="s">
        <v>459</v>
      </c>
      <c r="C131" s="21" t="s">
        <v>445</v>
      </c>
      <c r="D131" s="21" t="s">
        <v>184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460</v>
      </c>
      <c r="B132" s="22" t="s">
        <v>461</v>
      </c>
      <c r="C132" s="21" t="s">
        <v>445</v>
      </c>
      <c r="D132" s="21" t="s">
        <v>184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462</v>
      </c>
      <c r="B133" s="22" t="s">
        <v>463</v>
      </c>
      <c r="C133" s="21" t="s">
        <v>445</v>
      </c>
      <c r="D133" s="21" t="s">
        <v>184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464</v>
      </c>
      <c r="B134" s="22" t="s">
        <v>465</v>
      </c>
      <c r="C134" s="21" t="s">
        <v>445</v>
      </c>
      <c r="D134" s="21" t="s">
        <v>184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466</v>
      </c>
      <c r="B135" s="22" t="s">
        <v>467</v>
      </c>
      <c r="C135" s="21" t="s">
        <v>445</v>
      </c>
      <c r="D135" s="21" t="s">
        <v>184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468</v>
      </c>
      <c r="B136" s="22" t="s">
        <v>469</v>
      </c>
      <c r="C136" s="21" t="s">
        <v>143</v>
      </c>
      <c r="D136" s="21" t="s">
        <v>143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470</v>
      </c>
      <c r="B137" s="22" t="s">
        <v>471</v>
      </c>
      <c r="C137" s="27" t="s">
        <v>472</v>
      </c>
      <c r="D137" s="25" t="s">
        <v>473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474</v>
      </c>
      <c r="B138" s="22" t="s">
        <v>475</v>
      </c>
      <c r="C138" s="27" t="s">
        <v>476</v>
      </c>
      <c r="D138" s="25" t="s">
        <v>272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477</v>
      </c>
      <c r="B139" s="22" t="s">
        <v>478</v>
      </c>
      <c r="C139" s="27" t="s">
        <v>479</v>
      </c>
      <c r="D139" s="25" t="s">
        <v>155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480</v>
      </c>
      <c r="B140" s="22" t="s">
        <v>481</v>
      </c>
      <c r="C140" s="21" t="s">
        <v>143</v>
      </c>
      <c r="D140" s="21" t="s">
        <v>155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482</v>
      </c>
      <c r="B141" s="22" t="s">
        <v>483</v>
      </c>
      <c r="C141" s="27" t="s">
        <v>484</v>
      </c>
      <c r="D141" s="25" t="s">
        <v>155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485</v>
      </c>
      <c r="B142" s="22" t="s">
        <v>486</v>
      </c>
      <c r="C142" s="21" t="s">
        <v>143</v>
      </c>
      <c r="D142" s="21" t="s">
        <v>155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487</v>
      </c>
      <c r="B143" s="22" t="s">
        <v>488</v>
      </c>
      <c r="C143" s="27" t="s">
        <v>489</v>
      </c>
      <c r="D143" s="25" t="s">
        <v>155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490</v>
      </c>
      <c r="B144" s="22" t="s">
        <v>491</v>
      </c>
      <c r="C144" s="21" t="s">
        <v>492</v>
      </c>
      <c r="D144" s="21" t="s">
        <v>393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493</v>
      </c>
      <c r="B145" s="22" t="s">
        <v>494</v>
      </c>
      <c r="C145" s="21" t="s">
        <v>495</v>
      </c>
      <c r="D145" s="21" t="s">
        <v>223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496</v>
      </c>
      <c r="B146" s="22" t="s">
        <v>497</v>
      </c>
      <c r="C146" s="27" t="s">
        <v>498</v>
      </c>
      <c r="D146" s="25" t="s">
        <v>272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499</v>
      </c>
      <c r="B147" s="22" t="s">
        <v>500</v>
      </c>
      <c r="C147" s="27" t="s">
        <v>501</v>
      </c>
      <c r="D147" s="25" t="s">
        <v>272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502</v>
      </c>
      <c r="B148" s="22"/>
      <c r="C148" s="21" t="s">
        <v>495</v>
      </c>
      <c r="D148" s="21" t="s">
        <v>223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503</v>
      </c>
      <c r="B149" s="22" t="s">
        <v>504</v>
      </c>
      <c r="C149" s="27" t="s">
        <v>505</v>
      </c>
      <c r="D149" s="25" t="s">
        <v>506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507</v>
      </c>
      <c r="B150" s="22" t="s">
        <v>508</v>
      </c>
      <c r="C150" s="27" t="s">
        <v>509</v>
      </c>
      <c r="D150" s="25" t="s">
        <v>506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510</v>
      </c>
      <c r="B151" s="22"/>
      <c r="C151" s="21" t="s">
        <v>511</v>
      </c>
      <c r="D151" s="21" t="s">
        <v>229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512</v>
      </c>
      <c r="B152" s="22"/>
      <c r="C152" s="21" t="s">
        <v>143</v>
      </c>
      <c r="D152" s="21" t="s">
        <v>143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513</v>
      </c>
      <c r="B153" s="22" t="s">
        <v>514</v>
      </c>
      <c r="C153" s="21" t="s">
        <v>515</v>
      </c>
      <c r="D153" s="21" t="s">
        <v>516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517</v>
      </c>
      <c r="B154" s="22" t="s">
        <v>518</v>
      </c>
      <c r="C154" s="21" t="s">
        <v>519</v>
      </c>
      <c r="D154" s="21" t="s">
        <v>360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520</v>
      </c>
      <c r="B155" s="22"/>
      <c r="C155" s="21" t="s">
        <v>521</v>
      </c>
      <c r="D155" s="21" t="s">
        <v>251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522</v>
      </c>
      <c r="B156" s="22"/>
      <c r="C156" s="21" t="s">
        <v>143</v>
      </c>
      <c r="D156" s="21" t="s">
        <v>143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523</v>
      </c>
      <c r="B157" s="22" t="s">
        <v>524</v>
      </c>
      <c r="C157" s="21" t="s">
        <v>525</v>
      </c>
      <c r="D157" s="21" t="s">
        <v>385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66</v>
      </c>
      <c r="B158" s="22" t="s">
        <v>526</v>
      </c>
      <c r="C158" s="27" t="s">
        <v>527</v>
      </c>
      <c r="D158" s="25" t="s">
        <v>385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528</v>
      </c>
      <c r="B159" s="22" t="s">
        <v>529</v>
      </c>
      <c r="C159" s="27" t="s">
        <v>530</v>
      </c>
      <c r="D159" s="25" t="s">
        <v>385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528</v>
      </c>
      <c r="B160" s="22" t="s">
        <v>529</v>
      </c>
      <c r="C160" s="27" t="s">
        <v>531</v>
      </c>
      <c r="D160" s="25" t="s">
        <v>385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532</v>
      </c>
      <c r="B161" s="22" t="s">
        <v>533</v>
      </c>
      <c r="C161" s="27" t="s">
        <v>534</v>
      </c>
      <c r="D161" s="25" t="s">
        <v>277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535</v>
      </c>
      <c r="B162" s="22"/>
      <c r="C162" s="21" t="s">
        <v>143</v>
      </c>
      <c r="D162" s="21" t="s">
        <v>143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536</v>
      </c>
      <c r="B163" s="22" t="s">
        <v>537</v>
      </c>
      <c r="C163" s="21" t="s">
        <v>143</v>
      </c>
      <c r="D163" s="21" t="s">
        <v>143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538</v>
      </c>
      <c r="B164" s="22"/>
      <c r="C164" s="21" t="s">
        <v>539</v>
      </c>
      <c r="D164" s="21" t="s">
        <v>378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540</v>
      </c>
      <c r="B165" s="22" t="s">
        <v>541</v>
      </c>
      <c r="C165" s="21" t="s">
        <v>542</v>
      </c>
      <c r="D165" s="21" t="s">
        <v>143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543</v>
      </c>
      <c r="B166" s="22" t="s">
        <v>544</v>
      </c>
      <c r="C166" s="27" t="s">
        <v>545</v>
      </c>
      <c r="D166" s="25" t="s">
        <v>296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546</v>
      </c>
      <c r="B167" s="22" t="s">
        <v>547</v>
      </c>
      <c r="C167" s="21" t="s">
        <v>548</v>
      </c>
      <c r="D167" s="21" t="s">
        <v>251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549</v>
      </c>
      <c r="B168" s="22" t="s">
        <v>550</v>
      </c>
      <c r="C168" s="27" t="s">
        <v>551</v>
      </c>
      <c r="D168" s="25" t="s">
        <v>296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552</v>
      </c>
      <c r="B169" s="22" t="s">
        <v>553</v>
      </c>
      <c r="C169" s="27" t="s">
        <v>554</v>
      </c>
      <c r="D169" s="25" t="s">
        <v>296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555</v>
      </c>
      <c r="B170" s="22" t="s">
        <v>556</v>
      </c>
      <c r="C170" s="27" t="s">
        <v>557</v>
      </c>
      <c r="D170" s="25" t="s">
        <v>296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558</v>
      </c>
      <c r="B171" s="22" t="s">
        <v>559</v>
      </c>
      <c r="C171" s="23" t="s">
        <v>560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561</v>
      </c>
      <c r="B172" s="22"/>
      <c r="C172" s="21" t="s">
        <v>562</v>
      </c>
      <c r="D172" s="21" t="s">
        <v>219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563</v>
      </c>
      <c r="B173" s="22"/>
      <c r="C173" s="21" t="s">
        <v>143</v>
      </c>
      <c r="D173" s="21" t="s">
        <v>143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564</v>
      </c>
      <c r="B174" s="22" t="s">
        <v>565</v>
      </c>
      <c r="C174" s="27" t="s">
        <v>566</v>
      </c>
      <c r="D174" s="25" t="s">
        <v>229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567</v>
      </c>
      <c r="B175" s="22"/>
      <c r="C175" s="21" t="s">
        <v>143</v>
      </c>
      <c r="D175" s="21" t="s">
        <v>143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568</v>
      </c>
      <c r="B176" s="22"/>
      <c r="C176" s="21" t="s">
        <v>143</v>
      </c>
      <c r="D176" s="21" t="s">
        <v>143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569</v>
      </c>
      <c r="B177" s="22" t="s">
        <v>570</v>
      </c>
      <c r="C177" s="21" t="s">
        <v>571</v>
      </c>
      <c r="D177" s="21" t="s">
        <v>143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572</v>
      </c>
      <c r="B178" s="22"/>
      <c r="C178" s="21" t="s">
        <v>143</v>
      </c>
      <c r="D178" s="21" t="s">
        <v>143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573</v>
      </c>
      <c r="B179" s="22" t="s">
        <v>574</v>
      </c>
      <c r="C179" s="27" t="s">
        <v>575</v>
      </c>
      <c r="D179" s="25" t="s">
        <v>576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577</v>
      </c>
      <c r="B180" s="22"/>
      <c r="C180" s="21" t="s">
        <v>143</v>
      </c>
      <c r="D180" s="21" t="s">
        <v>143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578</v>
      </c>
      <c r="B181" s="22"/>
      <c r="C181" s="21" t="s">
        <v>579</v>
      </c>
      <c r="D181" s="21" t="s">
        <v>143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580</v>
      </c>
      <c r="B182" s="22" t="s">
        <v>581</v>
      </c>
      <c r="C182" s="21" t="s">
        <v>582</v>
      </c>
      <c r="D182" s="21" t="s">
        <v>152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583</v>
      </c>
      <c r="B183" s="22"/>
      <c r="C183" s="27" t="s">
        <v>584</v>
      </c>
      <c r="D183" s="25" t="s">
        <v>585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46</v>
      </c>
      <c r="B184" s="22" t="s">
        <v>586</v>
      </c>
      <c r="C184" s="27" t="s">
        <v>587</v>
      </c>
      <c r="D184" s="25" t="s">
        <v>324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588</v>
      </c>
      <c r="B185" s="22"/>
      <c r="C185" s="27" t="s">
        <v>589</v>
      </c>
      <c r="D185" s="25" t="s">
        <v>590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591</v>
      </c>
      <c r="B186" s="22" t="s">
        <v>592</v>
      </c>
      <c r="C186" s="27" t="s">
        <v>593</v>
      </c>
      <c r="D186" s="25" t="s">
        <v>251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594</v>
      </c>
      <c r="B187" s="22"/>
      <c r="C187" s="21" t="s">
        <v>143</v>
      </c>
      <c r="D187" s="21" t="s">
        <v>143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595</v>
      </c>
      <c r="B188" s="22"/>
      <c r="C188" s="21" t="s">
        <v>143</v>
      </c>
      <c r="D188" s="21" t="s">
        <v>143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596</v>
      </c>
      <c r="B189" s="22"/>
      <c r="C189" s="21" t="s">
        <v>597</v>
      </c>
      <c r="D189" s="21" t="s">
        <v>598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599</v>
      </c>
      <c r="B190" s="22" t="s">
        <v>600</v>
      </c>
      <c r="C190" s="27" t="s">
        <v>601</v>
      </c>
      <c r="D190" s="25" t="s">
        <v>255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602</v>
      </c>
      <c r="B191" s="22"/>
      <c r="C191" s="21" t="s">
        <v>603</v>
      </c>
      <c r="D191" s="21" t="s">
        <v>143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604</v>
      </c>
      <c r="B192" s="22" t="s">
        <v>605</v>
      </c>
      <c r="C192" s="21" t="s">
        <v>606</v>
      </c>
      <c r="D192" s="21" t="s">
        <v>155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607</v>
      </c>
      <c r="B193" s="22" t="s">
        <v>608</v>
      </c>
      <c r="C193" s="27" t="s">
        <v>609</v>
      </c>
      <c r="D193" s="25" t="s">
        <v>155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37</v>
      </c>
      <c r="B194" s="22" t="s">
        <v>610</v>
      </c>
      <c r="C194" s="27" t="s">
        <v>611</v>
      </c>
      <c r="D194" s="25" t="s">
        <v>155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52</v>
      </c>
      <c r="B195" s="22" t="s">
        <v>612</v>
      </c>
      <c r="C195" s="27" t="s">
        <v>609</v>
      </c>
      <c r="D195" s="25" t="s">
        <v>155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613</v>
      </c>
      <c r="B196" s="22" t="s">
        <v>614</v>
      </c>
      <c r="C196" s="21" t="s">
        <v>615</v>
      </c>
      <c r="D196" s="21" t="s">
        <v>616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617</v>
      </c>
      <c r="B197" s="22" t="s">
        <v>618</v>
      </c>
      <c r="C197" s="21" t="s">
        <v>619</v>
      </c>
      <c r="D197" s="21" t="s">
        <v>616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620</v>
      </c>
      <c r="B198" s="22" t="s">
        <v>621</v>
      </c>
      <c r="C198" s="21" t="s">
        <v>622</v>
      </c>
      <c r="D198" s="21" t="s">
        <v>251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623</v>
      </c>
      <c r="B199" s="22" t="s">
        <v>624</v>
      </c>
      <c r="C199" s="27" t="s">
        <v>625</v>
      </c>
      <c r="D199" s="25" t="s">
        <v>251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626</v>
      </c>
      <c r="B200" s="22" t="s">
        <v>627</v>
      </c>
      <c r="C200" s="21" t="s">
        <v>628</v>
      </c>
      <c r="D200" s="21" t="s">
        <v>629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630</v>
      </c>
      <c r="B201" s="22"/>
      <c r="C201" s="21" t="s">
        <v>631</v>
      </c>
      <c r="D201" s="21" t="s">
        <v>163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632</v>
      </c>
      <c r="B202" s="22"/>
      <c r="C202" s="21" t="s">
        <v>633</v>
      </c>
      <c r="D202" s="21" t="s">
        <v>385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634</v>
      </c>
      <c r="B203" s="22" t="s">
        <v>635</v>
      </c>
      <c r="C203" s="27" t="s">
        <v>636</v>
      </c>
      <c r="D203" s="25" t="s">
        <v>385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637</v>
      </c>
      <c r="B204" s="22"/>
      <c r="C204" s="21" t="s">
        <v>143</v>
      </c>
      <c r="D204" s="21" t="s">
        <v>143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638</v>
      </c>
      <c r="B205" s="22" t="s">
        <v>639</v>
      </c>
      <c r="C205" s="27" t="s">
        <v>640</v>
      </c>
      <c r="D205" s="25" t="s">
        <v>311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641</v>
      </c>
      <c r="B206" s="22"/>
      <c r="C206" s="21" t="s">
        <v>642</v>
      </c>
      <c r="D206" s="21" t="s">
        <v>643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644</v>
      </c>
      <c r="B207" s="22" t="s">
        <v>645</v>
      </c>
      <c r="C207" s="21" t="s">
        <v>143</v>
      </c>
      <c r="D207" s="21" t="s">
        <v>143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646</v>
      </c>
      <c r="B208" s="22"/>
      <c r="C208" s="21" t="s">
        <v>647</v>
      </c>
      <c r="D208" s="21" t="s">
        <v>598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648</v>
      </c>
      <c r="B209" s="22"/>
      <c r="C209" s="21" t="s">
        <v>143</v>
      </c>
      <c r="D209" s="21" t="s">
        <v>143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649</v>
      </c>
      <c r="B210" s="22" t="s">
        <v>650</v>
      </c>
      <c r="C210" s="21" t="s">
        <v>651</v>
      </c>
      <c r="D210" s="21" t="s">
        <v>598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652</v>
      </c>
      <c r="B211" s="22"/>
      <c r="C211" s="21" t="s">
        <v>143</v>
      </c>
      <c r="D211" s="21" t="s">
        <v>143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653</v>
      </c>
      <c r="B212" s="22"/>
      <c r="C212" s="21" t="s">
        <v>654</v>
      </c>
      <c r="D212" s="21" t="s">
        <v>143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655</v>
      </c>
      <c r="B213" s="22" t="s">
        <v>656</v>
      </c>
      <c r="C213" s="27" t="s">
        <v>657</v>
      </c>
      <c r="D213" s="25" t="s">
        <v>658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659</v>
      </c>
      <c r="B214" s="22" t="s">
        <v>660</v>
      </c>
      <c r="C214" s="27" t="s">
        <v>495</v>
      </c>
      <c r="D214" s="25" t="s">
        <v>272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661</v>
      </c>
      <c r="B215" s="22"/>
      <c r="C215" s="21" t="s">
        <v>143</v>
      </c>
      <c r="D215" s="21" t="s">
        <v>143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662</v>
      </c>
      <c r="B216" s="22"/>
      <c r="C216" s="21" t="s">
        <v>143</v>
      </c>
      <c r="D216" s="21" t="s">
        <v>143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663</v>
      </c>
      <c r="B217" s="22" t="s">
        <v>664</v>
      </c>
      <c r="C217" s="21" t="s">
        <v>665</v>
      </c>
      <c r="D217" s="21" t="s">
        <v>666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667</v>
      </c>
      <c r="B218" s="22"/>
      <c r="C218" s="21" t="s">
        <v>143</v>
      </c>
      <c r="D218" s="21" t="s">
        <v>143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668</v>
      </c>
      <c r="B219" s="22" t="s">
        <v>669</v>
      </c>
      <c r="C219" s="21" t="s">
        <v>670</v>
      </c>
      <c r="D219" s="21" t="s">
        <v>219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70</v>
      </c>
      <c r="B220" s="22" t="s">
        <v>671</v>
      </c>
      <c r="C220" s="27" t="s">
        <v>672</v>
      </c>
      <c r="D220" s="25" t="s">
        <v>219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673</v>
      </c>
      <c r="B221" s="22" t="s">
        <v>674</v>
      </c>
      <c r="C221" s="21" t="s">
        <v>675</v>
      </c>
      <c r="D221" s="21" t="s">
        <v>219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676</v>
      </c>
      <c r="B222" s="22"/>
      <c r="C222" s="21" t="s">
        <v>143</v>
      </c>
      <c r="D222" s="21" t="s">
        <v>143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677</v>
      </c>
      <c r="B223" s="22"/>
      <c r="C223" s="21" t="s">
        <v>678</v>
      </c>
      <c r="D223" s="21" t="s">
        <v>251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679</v>
      </c>
      <c r="B224" s="22" t="s">
        <v>680</v>
      </c>
      <c r="C224" s="27" t="s">
        <v>681</v>
      </c>
      <c r="D224" s="25" t="s">
        <v>576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682</v>
      </c>
      <c r="B225" s="22" t="s">
        <v>683</v>
      </c>
      <c r="C225" s="21" t="s">
        <v>684</v>
      </c>
      <c r="D225" s="21" t="s">
        <v>418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685</v>
      </c>
      <c r="B226" s="22"/>
      <c r="C226" s="21" t="s">
        <v>143</v>
      </c>
      <c r="D226" s="21" t="s">
        <v>686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687</v>
      </c>
      <c r="B227" s="22"/>
      <c r="C227" s="21" t="s">
        <v>143</v>
      </c>
      <c r="D227" s="21" t="s">
        <v>143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688</v>
      </c>
      <c r="B228" s="22" t="s">
        <v>689</v>
      </c>
      <c r="C228" s="27" t="s">
        <v>690</v>
      </c>
      <c r="D228" s="25" t="s">
        <v>184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691</v>
      </c>
      <c r="B229" s="22" t="s">
        <v>692</v>
      </c>
      <c r="C229" s="21" t="s">
        <v>143</v>
      </c>
      <c r="D229" s="21" t="s">
        <v>143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693</v>
      </c>
      <c r="B230" s="22"/>
      <c r="C230" s="21" t="s">
        <v>143</v>
      </c>
      <c r="D230" s="21" t="s">
        <v>143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694</v>
      </c>
      <c r="B231" s="22" t="s">
        <v>695</v>
      </c>
      <c r="C231" s="27" t="s">
        <v>696</v>
      </c>
      <c r="D231" s="25" t="s">
        <v>393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697</v>
      </c>
      <c r="B232" s="22" t="s">
        <v>698</v>
      </c>
      <c r="C232" s="21" t="s">
        <v>699</v>
      </c>
      <c r="D232" s="21" t="s">
        <v>229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700</v>
      </c>
      <c r="B233" s="22" t="s">
        <v>701</v>
      </c>
      <c r="C233" s="21" t="s">
        <v>699</v>
      </c>
      <c r="D233" s="21" t="s">
        <v>229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702</v>
      </c>
      <c r="B234" s="22" t="s">
        <v>703</v>
      </c>
      <c r="C234" s="21" t="s">
        <v>699</v>
      </c>
      <c r="D234" s="21" t="s">
        <v>229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704</v>
      </c>
      <c r="B235" s="22" t="s">
        <v>705</v>
      </c>
      <c r="C235" s="27" t="s">
        <v>706</v>
      </c>
      <c r="D235" s="25" t="s">
        <v>229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707</v>
      </c>
      <c r="B236" s="22" t="s">
        <v>708</v>
      </c>
      <c r="C236" s="21" t="s">
        <v>709</v>
      </c>
      <c r="D236" s="21" t="s">
        <v>311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710</v>
      </c>
      <c r="B237" s="22" t="s">
        <v>711</v>
      </c>
      <c r="C237" s="21" t="s">
        <v>699</v>
      </c>
      <c r="D237" s="21" t="s">
        <v>229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712</v>
      </c>
      <c r="B238" s="22" t="s">
        <v>713</v>
      </c>
      <c r="C238" s="27" t="s">
        <v>706</v>
      </c>
      <c r="D238" s="25" t="s">
        <v>229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714</v>
      </c>
      <c r="B239" s="22" t="s">
        <v>715</v>
      </c>
      <c r="C239" s="27" t="s">
        <v>716</v>
      </c>
      <c r="D239" s="25" t="s">
        <v>229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717</v>
      </c>
      <c r="B240" s="22"/>
      <c r="C240" s="21" t="s">
        <v>143</v>
      </c>
      <c r="D240" s="21" t="s">
        <v>229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718</v>
      </c>
      <c r="B241" s="22"/>
      <c r="C241" s="21" t="s">
        <v>719</v>
      </c>
      <c r="D241" s="21" t="s">
        <v>229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720</v>
      </c>
      <c r="B242" s="22" t="s">
        <v>721</v>
      </c>
      <c r="C242" s="21" t="s">
        <v>699</v>
      </c>
      <c r="D242" s="21" t="s">
        <v>229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722</v>
      </c>
      <c r="B243" s="22" t="s">
        <v>723</v>
      </c>
      <c r="C243" s="27" t="s">
        <v>724</v>
      </c>
      <c r="D243" s="25" t="s">
        <v>229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725</v>
      </c>
      <c r="B244" s="22" t="s">
        <v>726</v>
      </c>
      <c r="C244" s="21" t="s">
        <v>727</v>
      </c>
      <c r="D244" s="21" t="s">
        <v>229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728</v>
      </c>
      <c r="B245" s="22" t="s">
        <v>729</v>
      </c>
      <c r="C245" s="27" t="s">
        <v>730</v>
      </c>
      <c r="D245" s="25" t="s">
        <v>229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731</v>
      </c>
      <c r="B246" s="22" t="s">
        <v>732</v>
      </c>
      <c r="C246" s="27" t="s">
        <v>733</v>
      </c>
      <c r="D246" s="25" t="s">
        <v>229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734</v>
      </c>
      <c r="B247" s="22" t="s">
        <v>735</v>
      </c>
      <c r="C247" s="23" t="s">
        <v>706</v>
      </c>
      <c r="D247" s="23" t="s">
        <v>229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736</v>
      </c>
      <c r="B248" s="22" t="s">
        <v>737</v>
      </c>
      <c r="C248" s="21" t="s">
        <v>699</v>
      </c>
      <c r="D248" s="21" t="s">
        <v>229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738</v>
      </c>
      <c r="B249" s="22" t="s">
        <v>739</v>
      </c>
      <c r="C249" s="21" t="s">
        <v>740</v>
      </c>
      <c r="D249" s="21" t="s">
        <v>741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742</v>
      </c>
      <c r="B250" s="22"/>
      <c r="C250" s="21" t="s">
        <v>743</v>
      </c>
      <c r="D250" s="21" t="s">
        <v>184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744</v>
      </c>
      <c r="B251" s="22"/>
      <c r="C251" s="21" t="s">
        <v>143</v>
      </c>
      <c r="D251" s="21" t="s">
        <v>143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745</v>
      </c>
      <c r="B252" s="22" t="s">
        <v>746</v>
      </c>
      <c r="C252" s="27" t="s">
        <v>747</v>
      </c>
      <c r="D252" s="25" t="s">
        <v>748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749</v>
      </c>
      <c r="B253" s="22"/>
      <c r="C253" s="21" t="s">
        <v>143</v>
      </c>
      <c r="D253" s="21" t="s">
        <v>143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750</v>
      </c>
      <c r="B254" s="22"/>
      <c r="C254" s="21" t="s">
        <v>751</v>
      </c>
      <c r="D254" s="21" t="s">
        <v>752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50</v>
      </c>
      <c r="B255" s="22" t="s">
        <v>753</v>
      </c>
      <c r="C255" s="27" t="s">
        <v>754</v>
      </c>
      <c r="D255" s="25" t="s">
        <v>255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755</v>
      </c>
      <c r="C2" s="31"/>
      <c r="D2" s="31"/>
      <c r="E2" s="31"/>
      <c r="F2" s="32"/>
      <c r="G2" s="33" t="s">
        <v>756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757</v>
      </c>
      <c r="D3" s="37"/>
      <c r="E3" s="38" t="s">
        <v>758</v>
      </c>
      <c r="F3" s="39"/>
      <c r="G3" s="40" t="s">
        <v>759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760</v>
      </c>
      <c r="D4" s="43"/>
      <c r="E4" s="44" t="s">
        <v>761</v>
      </c>
      <c r="F4" s="45"/>
      <c r="G4" s="46" t="s">
        <v>762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763</v>
      </c>
      <c r="D5" s="43"/>
      <c r="E5" s="44" t="s">
        <v>764</v>
      </c>
      <c r="F5" s="45"/>
      <c r="G5" s="46" t="s">
        <v>765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766</v>
      </c>
      <c r="D6" s="43"/>
      <c r="E6" s="44" t="s">
        <v>767</v>
      </c>
      <c r="F6" s="45"/>
      <c r="G6" s="46" t="s">
        <v>768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769</v>
      </c>
      <c r="D7" s="43"/>
      <c r="E7" s="44" t="s">
        <v>770</v>
      </c>
      <c r="F7" s="45"/>
      <c r="G7" s="46" t="s">
        <v>771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772</v>
      </c>
      <c r="D8" s="43"/>
      <c r="E8" s="44" t="s">
        <v>773</v>
      </c>
      <c r="F8" s="45"/>
      <c r="G8" s="46" t="s">
        <v>774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775</v>
      </c>
      <c r="D9" s="43"/>
      <c r="E9" s="44" t="s">
        <v>776</v>
      </c>
      <c r="F9" s="45"/>
      <c r="G9" s="46" t="s">
        <v>777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778</v>
      </c>
      <c r="D10" s="43"/>
      <c r="E10" s="44" t="s">
        <v>779</v>
      </c>
      <c r="F10" s="45"/>
      <c r="G10" s="46" t="s">
        <v>780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781</v>
      </c>
      <c r="D11" s="43"/>
      <c r="E11" s="44" t="s">
        <v>782</v>
      </c>
      <c r="F11" s="45"/>
      <c r="G11" s="46" t="s">
        <v>783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784</v>
      </c>
      <c r="D12" s="50"/>
      <c r="E12" s="51" t="s">
        <v>785</v>
      </c>
      <c r="F12" s="52"/>
      <c r="G12" s="53" t="s">
        <v>786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787</v>
      </c>
      <c r="C13" s="31"/>
      <c r="D13" s="31"/>
      <c r="E13" s="31"/>
      <c r="F13" s="32"/>
      <c r="G13" s="55" t="s">
        <v>756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788</v>
      </c>
      <c r="D14" s="58"/>
      <c r="E14" s="38" t="s">
        <v>789</v>
      </c>
      <c r="F14" s="39"/>
      <c r="G14" s="59" t="s">
        <v>790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791</v>
      </c>
      <c r="D15" s="60"/>
      <c r="E15" s="44" t="s">
        <v>792</v>
      </c>
      <c r="F15" s="45"/>
      <c r="G15" s="61" t="s">
        <v>793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794</v>
      </c>
      <c r="D16" s="60"/>
      <c r="E16" s="44" t="s">
        <v>795</v>
      </c>
      <c r="F16" s="45"/>
      <c r="G16" s="61" t="s">
        <v>796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797</v>
      </c>
      <c r="D17" s="62"/>
      <c r="E17" s="51" t="s">
        <v>798</v>
      </c>
      <c r="F17" s="52"/>
      <c r="G17" s="63" t="s">
        <v>799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800</v>
      </c>
      <c r="D18" s="66"/>
      <c r="E18" s="67" t="s">
        <v>801</v>
      </c>
      <c r="F18" s="68"/>
      <c r="G18" s="53" t="s">
        <v>802</v>
      </c>
    </row>
    <row r="19" ht="45.75" customHeight="1">
      <c r="B19" s="69"/>
      <c r="C19" s="70"/>
      <c r="D19" s="71"/>
      <c r="E19" s="72" t="s">
        <v>803</v>
      </c>
      <c r="F19" s="73"/>
      <c r="G19" s="74" t="s">
        <v>804</v>
      </c>
    </row>
    <row r="20">
      <c r="B20" s="41">
        <v>6.0</v>
      </c>
      <c r="C20" s="75" t="s">
        <v>805</v>
      </c>
      <c r="D20" s="71"/>
      <c r="E20" s="76" t="s">
        <v>806</v>
      </c>
      <c r="F20" s="71"/>
      <c r="G20" s="46" t="s">
        <v>807</v>
      </c>
    </row>
    <row r="21">
      <c r="B21" s="41">
        <v>7.0</v>
      </c>
      <c r="C21" s="75" t="s">
        <v>808</v>
      </c>
      <c r="D21" s="77"/>
      <c r="E21" s="78" t="s">
        <v>809</v>
      </c>
      <c r="F21" s="77"/>
      <c r="G21" s="46" t="s">
        <v>810</v>
      </c>
    </row>
    <row r="22">
      <c r="B22" s="41">
        <v>8.0</v>
      </c>
      <c r="C22" s="75" t="s">
        <v>811</v>
      </c>
      <c r="D22" s="77"/>
      <c r="E22" s="44" t="s">
        <v>812</v>
      </c>
      <c r="F22" s="45"/>
      <c r="G22" s="79" t="s">
        <v>813</v>
      </c>
    </row>
    <row r="23">
      <c r="B23" s="48">
        <v>9.0</v>
      </c>
      <c r="C23" s="80" t="s">
        <v>814</v>
      </c>
      <c r="D23" s="66"/>
      <c r="E23" s="51" t="s">
        <v>815</v>
      </c>
      <c r="F23" s="52"/>
      <c r="G23" s="53" t="s">
        <v>816</v>
      </c>
    </row>
    <row r="24" ht="30.75" customHeight="1">
      <c r="B24" s="81" t="s">
        <v>817</v>
      </c>
      <c r="C24" s="31"/>
      <c r="D24" s="31"/>
      <c r="E24" s="31"/>
      <c r="F24" s="31"/>
      <c r="G24" s="82"/>
    </row>
    <row r="27" ht="23.25" customHeight="1">
      <c r="A27" s="83"/>
      <c r="B27" s="84" t="s">
        <v>818</v>
      </c>
      <c r="C27" s="85" t="s">
        <v>819</v>
      </c>
      <c r="D27" s="86" t="s">
        <v>820</v>
      </c>
      <c r="E27" s="32"/>
      <c r="F27" s="86" t="s">
        <v>756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821</v>
      </c>
      <c r="D28" s="89">
        <v>1.0</v>
      </c>
      <c r="E28" s="90" t="s">
        <v>822</v>
      </c>
      <c r="F28" s="91"/>
      <c r="G28" s="92"/>
    </row>
    <row r="29" ht="33.0" customHeight="1">
      <c r="B29" s="69"/>
      <c r="C29" s="93"/>
      <c r="D29" s="94">
        <v>2.0</v>
      </c>
      <c r="E29" s="95" t="s">
        <v>823</v>
      </c>
      <c r="F29" s="96"/>
      <c r="G29" s="97"/>
    </row>
    <row r="30" ht="33.0" customHeight="1">
      <c r="B30" s="41">
        <v>2.0</v>
      </c>
      <c r="C30" s="78" t="s">
        <v>824</v>
      </c>
      <c r="D30" s="98" t="s">
        <v>825</v>
      </c>
      <c r="E30" s="45"/>
      <c r="F30" s="96"/>
      <c r="G30" s="97"/>
    </row>
    <row r="31" ht="50.25" customHeight="1">
      <c r="B31" s="41">
        <v>3.0</v>
      </c>
      <c r="C31" s="99" t="s">
        <v>826</v>
      </c>
      <c r="D31" s="98" t="s">
        <v>827</v>
      </c>
      <c r="E31" s="45"/>
      <c r="F31" s="96"/>
      <c r="G31" s="97"/>
    </row>
    <row r="32" ht="33.0" customHeight="1">
      <c r="B32" s="41">
        <v>4.0</v>
      </c>
      <c r="C32" s="78" t="s">
        <v>828</v>
      </c>
      <c r="D32" s="98" t="s">
        <v>829</v>
      </c>
      <c r="E32" s="45"/>
      <c r="F32" s="100"/>
      <c r="G32" s="97"/>
    </row>
    <row r="33" ht="33.0" customHeight="1">
      <c r="B33" s="41">
        <v>5.0</v>
      </c>
      <c r="C33" s="78" t="s">
        <v>830</v>
      </c>
      <c r="D33" s="98" t="s">
        <v>831</v>
      </c>
      <c r="E33" s="45"/>
      <c r="F33" s="100"/>
      <c r="G33" s="97"/>
    </row>
    <row r="34" ht="33.0" customHeight="1">
      <c r="B34" s="41">
        <v>6.0</v>
      </c>
      <c r="C34" s="78" t="s">
        <v>832</v>
      </c>
      <c r="D34" s="98" t="s">
        <v>833</v>
      </c>
      <c r="E34" s="45"/>
      <c r="F34" s="100"/>
      <c r="G34" s="97"/>
    </row>
    <row r="35" ht="33.0" customHeight="1">
      <c r="B35" s="101">
        <v>7.0</v>
      </c>
      <c r="C35" s="102" t="s">
        <v>834</v>
      </c>
      <c r="D35" s="103" t="s">
        <v>835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836</v>
      </c>
      <c r="B1" s="14" t="s">
        <v>9</v>
      </c>
      <c r="C1" s="14" t="s">
        <v>837</v>
      </c>
      <c r="D1" s="14" t="s">
        <v>838</v>
      </c>
      <c r="E1" s="14" t="s">
        <v>839</v>
      </c>
      <c r="F1" s="14" t="s">
        <v>840</v>
      </c>
      <c r="G1" s="14" t="s">
        <v>841</v>
      </c>
      <c r="H1" s="107" t="s">
        <v>842</v>
      </c>
      <c r="I1" s="108" t="s">
        <v>843</v>
      </c>
      <c r="J1" s="108" t="s">
        <v>844</v>
      </c>
      <c r="K1" s="107" t="s">
        <v>845</v>
      </c>
      <c r="L1" s="108" t="s">
        <v>846</v>
      </c>
      <c r="M1" s="108" t="s">
        <v>847</v>
      </c>
      <c r="N1" s="108" t="s">
        <v>848</v>
      </c>
      <c r="O1" s="108" t="s">
        <v>849</v>
      </c>
      <c r="P1" s="108" t="s">
        <v>850</v>
      </c>
      <c r="Q1" s="109" t="s">
        <v>851</v>
      </c>
      <c r="R1" s="108" t="s">
        <v>852</v>
      </c>
      <c r="S1" s="108" t="s">
        <v>853</v>
      </c>
      <c r="T1" s="108" t="s">
        <v>854</v>
      </c>
      <c r="U1" s="108" t="s">
        <v>855</v>
      </c>
      <c r="V1" s="108" t="s">
        <v>856</v>
      </c>
      <c r="W1" s="108" t="s">
        <v>857</v>
      </c>
      <c r="X1" s="108" t="s">
        <v>858</v>
      </c>
      <c r="Y1" s="108" t="s">
        <v>859</v>
      </c>
      <c r="Z1" s="108" t="s">
        <v>860</v>
      </c>
      <c r="AA1" s="108" t="s">
        <v>861</v>
      </c>
      <c r="AB1" s="108" t="s">
        <v>862</v>
      </c>
      <c r="AC1" s="108" t="s">
        <v>863</v>
      </c>
      <c r="AD1" s="108" t="s">
        <v>864</v>
      </c>
      <c r="AE1" s="108" t="s">
        <v>97</v>
      </c>
      <c r="AF1" s="108" t="s">
        <v>865</v>
      </c>
      <c r="AH1" s="110" t="s">
        <v>866</v>
      </c>
      <c r="AI1" s="110" t="s">
        <v>867</v>
      </c>
      <c r="AJ1" s="110" t="s">
        <v>868</v>
      </c>
      <c r="AK1" s="110" t="s">
        <v>869</v>
      </c>
      <c r="AL1" s="110" t="s">
        <v>870</v>
      </c>
    </row>
    <row r="2">
      <c r="A2" s="15">
        <v>0.0</v>
      </c>
      <c r="B2" s="15" t="s">
        <v>29</v>
      </c>
      <c r="C2" s="15" t="s">
        <v>32</v>
      </c>
      <c r="D2" s="15" t="s">
        <v>871</v>
      </c>
      <c r="F2" s="111" t="s">
        <v>35</v>
      </c>
      <c r="G2" s="15" t="s">
        <v>872</v>
      </c>
      <c r="H2" s="15" t="s">
        <v>34</v>
      </c>
      <c r="I2" s="15" t="s">
        <v>873</v>
      </c>
      <c r="J2" s="15" t="s">
        <v>873</v>
      </c>
      <c r="K2" s="15" t="s">
        <v>873</v>
      </c>
      <c r="L2" s="15" t="s">
        <v>873</v>
      </c>
      <c r="M2" s="15" t="s">
        <v>873</v>
      </c>
      <c r="N2" s="15" t="s">
        <v>873</v>
      </c>
      <c r="O2" s="15" t="s">
        <v>874</v>
      </c>
      <c r="P2" s="15" t="s">
        <v>875</v>
      </c>
      <c r="Q2" s="15" t="s">
        <v>876</v>
      </c>
      <c r="R2" s="15" t="s">
        <v>877</v>
      </c>
      <c r="S2" s="15" t="s">
        <v>878</v>
      </c>
      <c r="T2" s="15" t="s">
        <v>879</v>
      </c>
      <c r="U2" s="15" t="s">
        <v>880</v>
      </c>
      <c r="V2" s="15" t="s">
        <v>881</v>
      </c>
      <c r="W2" s="15" t="s">
        <v>882</v>
      </c>
      <c r="X2" s="15" t="s">
        <v>883</v>
      </c>
      <c r="Y2" s="15" t="s">
        <v>884</v>
      </c>
      <c r="Z2" s="15" t="s">
        <v>885</v>
      </c>
      <c r="AA2" s="15" t="s">
        <v>886</v>
      </c>
      <c r="AB2" s="15" t="s">
        <v>887</v>
      </c>
      <c r="AC2" s="15" t="s">
        <v>888</v>
      </c>
      <c r="AD2" s="15" t="s">
        <v>889</v>
      </c>
      <c r="AE2" s="15" t="s">
        <v>890</v>
      </c>
      <c r="AF2" s="112" t="s">
        <v>891</v>
      </c>
      <c r="AH2" s="15" t="s">
        <v>892</v>
      </c>
      <c r="AI2" s="110" t="s">
        <v>893</v>
      </c>
      <c r="AJ2" s="15" t="s">
        <v>894</v>
      </c>
      <c r="AK2" s="113" t="s">
        <v>895</v>
      </c>
      <c r="AL2" s="15" t="s">
        <v>896</v>
      </c>
    </row>
    <row r="3">
      <c r="A3" s="15">
        <v>1.0</v>
      </c>
      <c r="B3" s="15" t="s">
        <v>26</v>
      </c>
      <c r="C3" s="15" t="s">
        <v>897</v>
      </c>
      <c r="D3" s="15" t="s">
        <v>47</v>
      </c>
      <c r="F3" s="111" t="s">
        <v>27</v>
      </c>
      <c r="G3" s="15" t="s">
        <v>898</v>
      </c>
      <c r="H3" s="15" t="s">
        <v>48</v>
      </c>
      <c r="I3" s="15" t="s">
        <v>899</v>
      </c>
      <c r="J3" s="15" t="s">
        <v>899</v>
      </c>
      <c r="K3" s="15" t="s">
        <v>899</v>
      </c>
      <c r="L3" s="15" t="s">
        <v>900</v>
      </c>
      <c r="M3" s="15" t="s">
        <v>901</v>
      </c>
      <c r="N3" s="15" t="s">
        <v>902</v>
      </c>
      <c r="O3" s="15" t="s">
        <v>903</v>
      </c>
      <c r="P3" s="15" t="s">
        <v>904</v>
      </c>
      <c r="Q3" s="15" t="s">
        <v>905</v>
      </c>
      <c r="R3" s="15" t="s">
        <v>906</v>
      </c>
      <c r="S3" s="15" t="s">
        <v>907</v>
      </c>
      <c r="T3" s="15" t="s">
        <v>881</v>
      </c>
      <c r="U3" s="15" t="s">
        <v>908</v>
      </c>
      <c r="V3" s="15" t="s">
        <v>904</v>
      </c>
      <c r="W3" s="15" t="s">
        <v>909</v>
      </c>
      <c r="X3" s="15" t="s">
        <v>910</v>
      </c>
      <c r="Y3" s="15" t="s">
        <v>911</v>
      </c>
      <c r="Z3" s="15" t="s">
        <v>912</v>
      </c>
      <c r="AA3" s="15" t="s">
        <v>913</v>
      </c>
      <c r="AB3" s="15" t="s">
        <v>914</v>
      </c>
      <c r="AC3" s="15" t="s">
        <v>915</v>
      </c>
      <c r="AD3" s="15" t="s">
        <v>916</v>
      </c>
      <c r="AE3" s="15" t="s">
        <v>917</v>
      </c>
      <c r="AF3" s="112" t="s">
        <v>918</v>
      </c>
      <c r="AH3" s="15" t="s">
        <v>919</v>
      </c>
      <c r="AI3" s="110" t="s">
        <v>920</v>
      </c>
      <c r="AJ3" s="114" t="s">
        <v>921</v>
      </c>
      <c r="AK3" s="113" t="s">
        <v>922</v>
      </c>
      <c r="AL3" s="15" t="s">
        <v>923</v>
      </c>
    </row>
    <row r="4">
      <c r="A4" s="15">
        <v>2.0</v>
      </c>
      <c r="B4" s="15" t="s">
        <v>30</v>
      </c>
      <c r="C4" s="15" t="s">
        <v>924</v>
      </c>
      <c r="D4" s="15" t="s">
        <v>925</v>
      </c>
      <c r="F4" s="111" t="s">
        <v>68</v>
      </c>
      <c r="G4" s="15" t="s">
        <v>926</v>
      </c>
      <c r="H4" s="15" t="s">
        <v>927</v>
      </c>
      <c r="I4" s="15" t="s">
        <v>875</v>
      </c>
      <c r="J4" s="15" t="s">
        <v>875</v>
      </c>
      <c r="K4" s="15" t="s">
        <v>875</v>
      </c>
      <c r="L4" s="15" t="s">
        <v>928</v>
      </c>
      <c r="M4" s="15" t="s">
        <v>929</v>
      </c>
      <c r="N4" s="15" t="s">
        <v>930</v>
      </c>
      <c r="P4" s="15" t="s">
        <v>931</v>
      </c>
      <c r="Q4" s="15" t="s">
        <v>932</v>
      </c>
      <c r="R4" s="15" t="s">
        <v>933</v>
      </c>
      <c r="S4" s="15" t="s">
        <v>934</v>
      </c>
      <c r="U4" s="15" t="s">
        <v>935</v>
      </c>
      <c r="V4" s="15" t="s">
        <v>936</v>
      </c>
      <c r="W4" s="15" t="s">
        <v>937</v>
      </c>
      <c r="X4" s="15" t="s">
        <v>938</v>
      </c>
      <c r="Z4" s="15" t="s">
        <v>939</v>
      </c>
      <c r="AA4" s="15" t="s">
        <v>940</v>
      </c>
      <c r="AB4" s="15" t="s">
        <v>941</v>
      </c>
      <c r="AC4" s="15" t="s">
        <v>942</v>
      </c>
      <c r="AD4" s="15" t="s">
        <v>943</v>
      </c>
      <c r="AE4" s="15" t="s">
        <v>944</v>
      </c>
      <c r="AF4" s="112" t="s">
        <v>945</v>
      </c>
      <c r="AH4" s="15" t="s">
        <v>25</v>
      </c>
      <c r="AJ4" s="15" t="s">
        <v>946</v>
      </c>
      <c r="AK4" s="113" t="s">
        <v>947</v>
      </c>
      <c r="AL4" s="15" t="s">
        <v>948</v>
      </c>
    </row>
    <row r="5">
      <c r="A5" s="111"/>
      <c r="B5" s="15" t="s">
        <v>89</v>
      </c>
      <c r="C5" s="15" t="s">
        <v>949</v>
      </c>
      <c r="D5" s="15" t="s">
        <v>950</v>
      </c>
      <c r="F5" s="111"/>
      <c r="G5" s="15" t="s">
        <v>951</v>
      </c>
      <c r="H5" s="15" t="s">
        <v>952</v>
      </c>
      <c r="Q5" s="15" t="s">
        <v>953</v>
      </c>
      <c r="R5" s="15" t="s">
        <v>954</v>
      </c>
      <c r="U5" s="15" t="s">
        <v>955</v>
      </c>
      <c r="X5" s="15" t="s">
        <v>956</v>
      </c>
      <c r="Z5" s="115" t="s">
        <v>954</v>
      </c>
      <c r="AB5" s="15" t="s">
        <v>957</v>
      </c>
      <c r="AC5" s="15" t="s">
        <v>958</v>
      </c>
      <c r="AD5" s="15" t="s">
        <v>959</v>
      </c>
      <c r="AE5" s="15" t="s">
        <v>960</v>
      </c>
      <c r="AF5" s="112" t="s">
        <v>961</v>
      </c>
      <c r="AH5" s="15" t="s">
        <v>962</v>
      </c>
      <c r="AJ5" s="114" t="s">
        <v>963</v>
      </c>
      <c r="AK5" s="113" t="s">
        <v>964</v>
      </c>
      <c r="AL5" s="15" t="s">
        <v>965</v>
      </c>
    </row>
    <row r="6">
      <c r="B6" s="15" t="s">
        <v>38</v>
      </c>
      <c r="C6" s="15" t="s">
        <v>966</v>
      </c>
      <c r="D6" s="15" t="s">
        <v>967</v>
      </c>
      <c r="F6" s="111"/>
      <c r="G6" s="15" t="s">
        <v>968</v>
      </c>
      <c r="R6" s="15" t="s">
        <v>969</v>
      </c>
      <c r="X6" s="15" t="s">
        <v>970</v>
      </c>
      <c r="Z6" s="115" t="s">
        <v>969</v>
      </c>
      <c r="AD6" s="15" t="s">
        <v>971</v>
      </c>
      <c r="AF6" s="112" t="s">
        <v>972</v>
      </c>
      <c r="AH6" s="15" t="s">
        <v>973</v>
      </c>
      <c r="AJ6" s="15" t="s">
        <v>974</v>
      </c>
      <c r="AK6" s="113" t="s">
        <v>975</v>
      </c>
      <c r="AL6" s="15" t="s">
        <v>976</v>
      </c>
    </row>
    <row r="7">
      <c r="B7" s="15" t="s">
        <v>977</v>
      </c>
      <c r="C7" s="15" t="s">
        <v>73</v>
      </c>
      <c r="D7" s="15" t="s">
        <v>978</v>
      </c>
      <c r="F7" s="111"/>
      <c r="G7" s="15" t="s">
        <v>979</v>
      </c>
      <c r="R7" s="15" t="s">
        <v>980</v>
      </c>
      <c r="X7" s="15" t="s">
        <v>981</v>
      </c>
      <c r="Z7" s="115" t="s">
        <v>980</v>
      </c>
      <c r="AD7" s="15" t="s">
        <v>982</v>
      </c>
      <c r="AF7" s="112" t="s">
        <v>983</v>
      </c>
      <c r="AH7" s="15" t="s">
        <v>984</v>
      </c>
      <c r="AJ7" s="114" t="s">
        <v>985</v>
      </c>
      <c r="AK7" s="113"/>
      <c r="AL7" s="15" t="s">
        <v>986</v>
      </c>
    </row>
    <row r="8">
      <c r="C8" s="15" t="s">
        <v>987</v>
      </c>
      <c r="D8" s="15" t="s">
        <v>33</v>
      </c>
      <c r="F8" s="111"/>
      <c r="G8" s="111" t="s">
        <v>988</v>
      </c>
      <c r="R8" s="15" t="s">
        <v>989</v>
      </c>
      <c r="X8" s="15" t="s">
        <v>990</v>
      </c>
      <c r="Z8" s="115" t="s">
        <v>989</v>
      </c>
      <c r="AD8" s="15" t="s">
        <v>991</v>
      </c>
      <c r="AF8" s="112" t="s">
        <v>992</v>
      </c>
      <c r="AH8" s="15" t="s">
        <v>993</v>
      </c>
      <c r="AJ8" s="114" t="s">
        <v>994</v>
      </c>
    </row>
    <row r="9">
      <c r="C9" s="15" t="s">
        <v>995</v>
      </c>
      <c r="D9" s="15" t="s">
        <v>996</v>
      </c>
      <c r="F9" s="111"/>
      <c r="G9" s="15" t="s">
        <v>997</v>
      </c>
      <c r="AD9" s="15" t="s">
        <v>998</v>
      </c>
      <c r="AF9" s="112" t="s">
        <v>999</v>
      </c>
      <c r="AH9" s="15" t="s">
        <v>1000</v>
      </c>
      <c r="AJ9" s="114" t="s">
        <v>1001</v>
      </c>
    </row>
    <row r="10">
      <c r="C10" s="15" t="s">
        <v>1002</v>
      </c>
      <c r="F10" s="111"/>
      <c r="G10" s="15" t="s">
        <v>1003</v>
      </c>
      <c r="AD10" s="15" t="s">
        <v>1004</v>
      </c>
      <c r="AH10" s="15" t="s">
        <v>1005</v>
      </c>
      <c r="AJ10" s="114" t="s">
        <v>1006</v>
      </c>
    </row>
    <row r="11">
      <c r="C11" s="15" t="s">
        <v>1007</v>
      </c>
      <c r="F11" s="111"/>
      <c r="AD11" s="15" t="s">
        <v>1008</v>
      </c>
      <c r="AJ11" s="114" t="s">
        <v>1009</v>
      </c>
    </row>
    <row r="12">
      <c r="C12" s="15" t="s">
        <v>56</v>
      </c>
      <c r="F12" s="111"/>
      <c r="AD12" s="15" t="s">
        <v>1010</v>
      </c>
      <c r="AJ12" s="15" t="s">
        <v>1011</v>
      </c>
    </row>
    <row r="13">
      <c r="C13" s="15" t="s">
        <v>1012</v>
      </c>
      <c r="F13" s="111"/>
      <c r="AJ13" s="114" t="s">
        <v>1013</v>
      </c>
    </row>
    <row r="14">
      <c r="F14" s="111"/>
      <c r="AJ14" s="15" t="s">
        <v>1014</v>
      </c>
    </row>
    <row r="15">
      <c r="C15" s="15" t="s">
        <v>1015</v>
      </c>
      <c r="AJ15" s="114" t="s">
        <v>1016</v>
      </c>
    </row>
    <row r="16">
      <c r="AJ16" s="15" t="s">
        <v>1017</v>
      </c>
    </row>
    <row r="17">
      <c r="AJ17" s="114" t="s">
        <v>1018</v>
      </c>
    </row>
    <row r="18">
      <c r="AJ18" s="15" t="s">
        <v>1019</v>
      </c>
    </row>
    <row r="19">
      <c r="AJ19" s="114" t="s">
        <v>1020</v>
      </c>
    </row>
    <row r="20">
      <c r="AJ20" s="15" t="s">
        <v>1021</v>
      </c>
    </row>
    <row r="21">
      <c r="AJ21" s="114" t="s">
        <v>1022</v>
      </c>
    </row>
    <row r="22">
      <c r="AJ22" s="5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